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rop_timeline/sac2/"/>
    </mc:Choice>
  </mc:AlternateContent>
  <xr:revisionPtr revIDLastSave="0" documentId="13_ncr:1_{E3656AC2-2D5E-F440-8F98-8A0E17386C64}" xr6:coauthVersionLast="47" xr6:coauthVersionMax="47" xr10:uidLastSave="{00000000-0000-0000-0000-000000000000}"/>
  <bookViews>
    <workbookView xWindow="43960" yWindow="-3280" windowWidth="30240" windowHeight="17640" activeTab="7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weed_her" sheetId="5" r:id="rId5"/>
    <sheet name="pest_ins" sheetId="6" r:id="rId6"/>
    <sheet name="disease_fun" sheetId="7" r:id="rId7"/>
    <sheet name="fertilizer" sheetId="8" r:id="rId8"/>
    <sheet name="crop_ref" sheetId="10" r:id="rId9"/>
    <sheet name="ref" sheetId="9" r:id="rId10"/>
  </sheets>
  <definedNames>
    <definedName name="_xlnm._FilterDatabase" localSheetId="3" hidden="1">crop_disease!$A$1:$H$19</definedName>
    <definedName name="_xlnm._FilterDatabase" localSheetId="2" hidden="1">crop_pest!$A$1:$H$52</definedName>
    <definedName name="_xlnm._FilterDatabase" localSheetId="0" hidden="1">crop_stage!$A$1:$F$38</definedName>
    <definedName name="_xlnm._FilterDatabase" localSheetId="1" hidden="1">crop_weeds!$A$1:$J$24</definedName>
    <definedName name="_xlnm._FilterDatabase" localSheetId="4" hidden="1">weed_her!$A$1:$G$85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7" i="7" l="1"/>
  <c r="B48" i="7"/>
  <c r="B49" i="7"/>
  <c r="B50" i="7"/>
  <c r="B51" i="7"/>
  <c r="B42" i="7"/>
  <c r="B43" i="7"/>
  <c r="B44" i="7"/>
  <c r="B45" i="7"/>
  <c r="B46" i="7"/>
  <c r="B38" i="7"/>
  <c r="B39" i="7"/>
  <c r="B40" i="7"/>
  <c r="B41" i="7"/>
  <c r="B37" i="7"/>
  <c r="B32" i="7"/>
  <c r="B33" i="7"/>
  <c r="B34" i="7"/>
  <c r="B35" i="7"/>
  <c r="B36" i="7"/>
  <c r="B31" i="7"/>
  <c r="B26" i="7"/>
  <c r="B27" i="7"/>
  <c r="B28" i="7"/>
  <c r="B29" i="7"/>
  <c r="B30" i="7"/>
  <c r="B25" i="7"/>
  <c r="B20" i="7"/>
  <c r="B21" i="7"/>
  <c r="B22" i="7"/>
  <c r="B23" i="7"/>
  <c r="B24" i="7"/>
  <c r="B17" i="7"/>
  <c r="B18" i="7"/>
  <c r="B19" i="7"/>
  <c r="B15" i="7"/>
  <c r="B13" i="7"/>
  <c r="B11" i="7"/>
  <c r="B9" i="7"/>
  <c r="B7" i="7"/>
  <c r="B5" i="7"/>
  <c r="B3" i="7"/>
  <c r="B14" i="7" l="1"/>
  <c r="B4" i="7"/>
  <c r="B6" i="7"/>
  <c r="B8" i="7"/>
  <c r="B10" i="7"/>
  <c r="B12" i="7"/>
  <c r="B16" i="7" l="1"/>
  <c r="B2" i="7"/>
</calcChain>
</file>

<file path=xl/sharedStrings.xml><?xml version="1.0" encoding="utf-8"?>
<sst xmlns="http://schemas.openxmlformats.org/spreadsheetml/2006/main" count="2017" uniqueCount="437">
  <si>
    <t>crop_id</t>
  </si>
  <si>
    <t xml:space="preserve">crop </t>
  </si>
  <si>
    <t>c001</t>
  </si>
  <si>
    <t>stage</t>
  </si>
  <si>
    <t>start_day</t>
  </si>
  <si>
    <t>end_day</t>
  </si>
  <si>
    <t>pest_id</t>
  </si>
  <si>
    <t>pest_name_en</t>
  </si>
  <si>
    <t>pest_name_th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</si>
  <si>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</si>
  <si>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</si>
  <si>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</si>
  <si>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</si>
  <si>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</si>
  <si>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</si>
  <si>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</si>
  <si>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</si>
  <si>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</si>
  <si>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</si>
  <si>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</si>
  <si>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</si>
  <si>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</si>
  <si>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</si>
  <si>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</si>
  <si>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</si>
  <si>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</si>
  <si>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</si>
  <si>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</si>
  <si>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common_name</t>
  </si>
  <si>
    <t>p001</t>
  </si>
  <si>
    <t>p002</t>
  </si>
  <si>
    <t>p003</t>
  </si>
  <si>
    <t>p004</t>
  </si>
  <si>
    <t>p005</t>
  </si>
  <si>
    <t>f001</t>
  </si>
  <si>
    <t>f002</t>
  </si>
  <si>
    <t>f003</t>
  </si>
  <si>
    <t>f004</t>
  </si>
  <si>
    <t>f005</t>
  </si>
  <si>
    <t>f006</t>
  </si>
  <si>
    <t>20-20-0</t>
  </si>
  <si>
    <t>15-15-15</t>
  </si>
  <si>
    <t>16-16-16</t>
  </si>
  <si>
    <t>8-24-24</t>
  </si>
  <si>
    <t>rice(120 days)</t>
  </si>
  <si>
    <t>stage_th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</si>
  <si>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</si>
  <si>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</si>
  <si>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</si>
  <si>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</si>
  <si>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</si>
  <si>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</si>
  <si>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</si>
  <si>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</si>
  <si>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</si>
  <si>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</si>
  <si>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</si>
  <si>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</si>
  <si>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หญ้าข้าวนก</t>
  </si>
  <si>
    <t>weed_science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</si>
  <si>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</si>
  <si>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</si>
  <si>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</si>
  <si>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</si>
  <si>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</si>
  <si>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</si>
  <si>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</si>
  <si>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</si>
  <si>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</si>
  <si>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</si>
  <si>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</si>
  <si>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</si>
  <si>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</si>
  <si>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</si>
  <si>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</si>
  <si>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</si>
  <si>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</si>
  <si>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</si>
  <si>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</si>
  <si>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</si>
  <si>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</si>
  <si>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</si>
  <si>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</si>
  <si>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</si>
  <si>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</si>
  <si>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</si>
  <si>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</si>
  <si>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</si>
  <si>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</si>
  <si>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</si>
  <si>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</si>
  <si>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</si>
  <si>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</si>
  <si>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</si>
  <si>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</si>
  <si>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</si>
  <si>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</si>
  <si>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w012</t>
  </si>
  <si>
    <t>โสนคางคก</t>
  </si>
  <si>
    <t>ข้าววัชพืช</t>
  </si>
  <si>
    <t>weedy rice</t>
  </si>
  <si>
    <t>order</t>
  </si>
  <si>
    <t>Thysanoptera</t>
  </si>
  <si>
    <t>Gastropoda</t>
  </si>
  <si>
    <t>Golden apple snail</t>
  </si>
  <si>
    <t>หอยเชอรี่</t>
  </si>
  <si>
    <t>Coleoptera</t>
  </si>
  <si>
    <t>Lepidoptera</t>
  </si>
  <si>
    <t>Rice seedling armyworm</t>
  </si>
  <si>
    <t>หนอนกระทู้กล้า</t>
  </si>
  <si>
    <t>Hemiptera</t>
  </si>
  <si>
    <t>Rice black bug</t>
  </si>
  <si>
    <t>Diptera</t>
  </si>
  <si>
    <t>Rice gall midge</t>
  </si>
  <si>
    <t>แมลงบั่ว</t>
  </si>
  <si>
    <t>Rice hispa</t>
  </si>
  <si>
    <t>แมลงดำหนาม</t>
  </si>
  <si>
    <t>Rice leaffolder</t>
  </si>
  <si>
    <t>แมลงหล่า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</si>
  <si>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</si>
  <si>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</si>
  <si>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</si>
  <si>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</si>
  <si>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</si>
  <si>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</si>
  <si>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</si>
  <si>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</si>
  <si>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</si>
  <si>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</si>
  <si>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Rice Blast</t>
  </si>
  <si>
    <t>Brown Spot</t>
  </si>
  <si>
    <t>Narrow Brown Spot</t>
  </si>
  <si>
    <t>Dirty Panicle</t>
  </si>
  <si>
    <t>Sheath Blight</t>
  </si>
  <si>
    <t>Sheath Rot</t>
  </si>
  <si>
    <t>False Smut</t>
  </si>
  <si>
    <t>Bacterial Leaf Blight</t>
  </si>
  <si>
    <t>Bacterial Leaf Streak</t>
  </si>
  <si>
    <t>d007</t>
  </si>
  <si>
    <t>d008</t>
  </si>
  <si>
    <t>d009</t>
  </si>
  <si>
    <t>โรคใบจุดสีน้ำตาล</t>
  </si>
  <si>
    <t>โรคใบขีดสีน้ำตาล</t>
  </si>
  <si>
    <t>โรคเมล็ดด่าง</t>
  </si>
  <si>
    <t>โรคกาบใบเน่า</t>
  </si>
  <si>
    <t>โรคดอกกระถิน</t>
  </si>
  <si>
    <t>โรคใบขีดโปร่งแสง</t>
  </si>
  <si>
    <t>Magnaporthe oryzae</t>
  </si>
  <si>
    <t>Bipolaris oryzae</t>
  </si>
  <si>
    <t>Cercospora janseana (syn. C. oryzae)</t>
  </si>
  <si>
    <t>Complex: Bipolaris spp., Curvularia spp., Fusarium spp., Sarocladium oryzae</t>
  </si>
  <si>
    <t>Rhizoctonia solani</t>
  </si>
  <si>
    <t>Sarocladium oryzae</t>
  </si>
  <si>
    <t>Ustilaginoidea virens</t>
  </si>
  <si>
    <t>Xanthomonas oryzae pv. oryzae</t>
  </si>
  <si>
    <t>Xanthomonas oryzae pv. oryzicola</t>
  </si>
  <si>
    <t>disease_name_sc</t>
  </si>
  <si>
    <t>Fungus (complex)</t>
  </si>
  <si>
    <t>Bacterium</t>
  </si>
  <si>
    <t>rice (120 days)</t>
  </si>
  <si>
    <t>fertilizer</t>
  </si>
  <si>
    <t>f007</t>
  </si>
  <si>
    <t>f008</t>
  </si>
  <si>
    <t>f009</t>
  </si>
  <si>
    <t>f010</t>
  </si>
  <si>
    <t>f011</t>
  </si>
  <si>
    <t>f012</t>
  </si>
  <si>
    <t>id</t>
  </si>
  <si>
    <t>formula</t>
  </si>
  <si>
    <t>brand</t>
  </si>
  <si>
    <t>พีรามิด</t>
  </si>
  <si>
    <t>entec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</si>
  <si>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</si>
  <si>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</si>
  <si>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</si>
  <si>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</si>
  <si>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</si>
  <si>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</si>
  <si>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</si>
  <si>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</si>
  <si>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</si>
  <si>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</si>
  <si>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</si>
  <si>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</si>
  <si>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</si>
  <si>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</si>
  <si>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</si>
  <si>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f013</t>
  </si>
  <si>
    <t>f014</t>
  </si>
  <si>
    <t>f015</t>
  </si>
  <si>
    <t>แมลงหวี่ขาว</t>
  </si>
  <si>
    <t>Whitefly</t>
  </si>
  <si>
    <t>Seedling Stage</t>
  </si>
  <si>
    <t>ระยะกล้า</t>
  </si>
  <si>
    <t>Tillering</t>
  </si>
  <si>
    <t>ระยะแตกกอ</t>
  </si>
  <si>
    <t>Stem Elongation</t>
  </si>
  <si>
    <t>ระยะยืดลำต้น</t>
  </si>
  <si>
    <t>Panicle Initiation &amp; Booting Stage</t>
  </si>
  <si>
    <t>ระยะเริ่มสร้างช่อดอกและระยะบูต</t>
  </si>
  <si>
    <t>Heading</t>
  </si>
  <si>
    <t>ระยะออกรวง</t>
  </si>
  <si>
    <t>Flowering (Anthesis)</t>
  </si>
  <si>
    <t>ระยะออกดอก</t>
  </si>
  <si>
    <t>Milk Stage</t>
  </si>
  <si>
    <t>ระยะน้ำนม</t>
  </si>
  <si>
    <t>Dough Stage</t>
  </si>
  <si>
    <t>ระยะแป้ง</t>
  </si>
  <si>
    <t>Maturity &amp; Harvest</t>
  </si>
  <si>
    <t>ระยะแก่และเก็บเกี่ยว</t>
  </si>
  <si>
    <t>rice(120days)</t>
  </si>
  <si>
    <t>20</t>
  </si>
  <si>
    <t>40</t>
  </si>
  <si>
    <t>60</t>
  </si>
  <si>
    <t>hrac_code</t>
  </si>
  <si>
    <t>irac_code</t>
  </si>
  <si>
    <t>frac_code</t>
  </si>
  <si>
    <t>M01</t>
  </si>
  <si>
    <t>c002</t>
  </si>
  <si>
    <t>rice(100 days)</t>
  </si>
  <si>
    <t>c003</t>
  </si>
  <si>
    <t>durian (new tree)</t>
  </si>
  <si>
    <t>Site Preparation &amp; Planting</t>
  </si>
  <si>
    <t>เตรียมพื้นที่และปลูก</t>
  </si>
  <si>
    <t>Establishment</t>
  </si>
  <si>
    <t>ระยะตั้งตัวหลังปลูก</t>
  </si>
  <si>
    <t>Early Vegetative Growth</t>
  </si>
  <si>
    <t>ระยะเจริญเติบโตทางลำต้นและใบระยะแรก</t>
  </si>
  <si>
    <t>Canopy &amp; Structural Branch Development</t>
  </si>
  <si>
    <t>ระยะสร้างทรงพุ่มและกิ่งโครงสร้าง</t>
  </si>
  <si>
    <t>Vegetative Expansion</t>
  </si>
  <si>
    <t>ระยะขยายทรงพุ่มและเพิ่มการแตกใบ</t>
  </si>
  <si>
    <t>Canopy Development &amp; Maintenance</t>
  </si>
  <si>
    <t>ระยะพัฒนาทรงพุ่มและบำรุงต้น</t>
  </si>
  <si>
    <t>Pre-bearing / Tree Maturation</t>
  </si>
  <si>
    <t>ระยะเตรียมต้นก่อนให้ผลผลิต</t>
  </si>
  <si>
    <t>c004</t>
  </si>
  <si>
    <t>durian (bearing tree)</t>
  </si>
  <si>
    <t>Post-Harvest Recovery</t>
  </si>
  <si>
    <t>ระยะฟื้นฟูต้นหลังเก็บเกี่ยว</t>
  </si>
  <si>
    <t>Vegetative Flush 1</t>
  </si>
  <si>
    <t>ระยะแตกใบชุดที่ 1</t>
  </si>
  <si>
    <t>Vegetative Flush 2</t>
  </si>
  <si>
    <t>ระยะแตกใบชุดที่ 2</t>
  </si>
  <si>
    <t>Vegetative Flush 3 / Canopy Development</t>
  </si>
  <si>
    <t>ระยะแตกใบชุดที่ 3 และพัฒนาทรงพุ่ม</t>
  </si>
  <si>
    <t>Leaf Maturation &amp; Food Accumulation</t>
  </si>
  <si>
    <t>ระยะใบแก่และสะสมอาหาร</t>
  </si>
  <si>
    <t>Flower Induction / Pre-Flowering Preparation</t>
  </si>
  <si>
    <t>ระยะเตรียมต้นและชักนำการออกดอก</t>
  </si>
  <si>
    <t>Flowering</t>
  </si>
  <si>
    <t>Fruit Set &amp; Early Fruit Development</t>
  </si>
  <si>
    <t>ระยะติดผลและพัฒนาผลระยะแรก</t>
  </si>
  <si>
    <t>Fruit Development</t>
  </si>
  <si>
    <t>ระยะพัฒนาผล</t>
  </si>
  <si>
    <t>Fruit Enlargement &amp; Quality Development</t>
  </si>
  <si>
    <t>ระยะขยายผลและพัฒนาคุณภาพ</t>
  </si>
  <si>
    <t>Fruit Maturation</t>
  </si>
  <si>
    <t>ระยะผลแก่</t>
  </si>
  <si>
    <t>Harvest</t>
  </si>
  <si>
    <t>ระยะเก็บเกี่ยว</t>
  </si>
  <si>
    <t>day_more_than_120</t>
  </si>
  <si>
    <t>หนอนเจาะเมล็ดทุเรียน</t>
  </si>
  <si>
    <t>เพลี้ยไก่แจ้ทุเรียน</t>
  </si>
  <si>
    <t>หนอนเจาะผลทุเรียน</t>
  </si>
  <si>
    <t>เพลี้ยแป้ง</t>
  </si>
  <si>
    <t>มอดเจาะลำต้น</t>
  </si>
  <si>
    <t>หนอนด้วงหนวดยาวเจาะลำต้น</t>
  </si>
  <si>
    <t>เพลี้ยหอยเกล็ดทุเรียน</t>
  </si>
  <si>
    <t>เพลี้ยจักจั่นฝอยทุเรียน</t>
  </si>
  <si>
    <t>แมลงค่อมทอง</t>
  </si>
  <si>
    <t>หนอนกินใบ</t>
  </si>
  <si>
    <t>Durian seed borer</t>
  </si>
  <si>
    <t>Durian psyllid</t>
  </si>
  <si>
    <t>Longhorn beetle</t>
  </si>
  <si>
    <t>Durian armored scale</t>
  </si>
  <si>
    <t>Durian leafhopper</t>
  </si>
  <si>
    <t>Golden weevil</t>
  </si>
  <si>
    <t>Leaf-eating caterpillars</t>
  </si>
  <si>
    <t>Thrips</t>
  </si>
  <si>
    <t>เพลี้ยไฟ</t>
  </si>
  <si>
    <t xml:space="preserve">                   </t>
  </si>
  <si>
    <t>ไรแดงแอฟริกัน</t>
  </si>
  <si>
    <t>African red mite</t>
  </si>
  <si>
    <t>Durian fruit borer</t>
  </si>
  <si>
    <t>Mealybugs</t>
  </si>
  <si>
    <t>Ambrosia / shot-hole beetle</t>
  </si>
  <si>
    <t>Acari</t>
  </si>
  <si>
    <t xml:space="preserve">start </t>
  </si>
  <si>
    <t>end</t>
  </si>
  <si>
    <t>50</t>
  </si>
  <si>
    <t>75</t>
  </si>
  <si>
    <t>rice 100 days</t>
  </si>
  <si>
    <t>rice 120 days</t>
  </si>
  <si>
    <t>apply fertilizer more than 120 days for each time</t>
  </si>
  <si>
    <t>kg</t>
  </si>
  <si>
    <t>kum lane</t>
  </si>
  <si>
    <t>buthachor</t>
  </si>
  <si>
    <t>pethilacor</t>
  </si>
  <si>
    <t>kum kar</t>
  </si>
  <si>
    <t>pendi</t>
  </si>
  <si>
    <t>cheed geb</t>
  </si>
  <si>
    <t>buthachor+propanil</t>
  </si>
  <si>
    <t>tetris, pyzero(not work) &gt;&gt; methameflop</t>
  </si>
  <si>
    <t>tetris,pyzero</t>
  </si>
  <si>
    <t>pyribetoxim</t>
  </si>
  <si>
    <t>peoxsulam+cyhaloflop</t>
  </si>
  <si>
    <t>royant</t>
  </si>
  <si>
    <t>bisbaribac sodium</t>
  </si>
  <si>
    <t>pymetrozine,ema,aba,fipronil</t>
  </si>
  <si>
    <t>aba,necrozamine</t>
  </si>
  <si>
    <t>ema</t>
  </si>
  <si>
    <t>finobucarb+cartap</t>
  </si>
  <si>
    <t>winter season</t>
  </si>
  <si>
    <t>1st</t>
  </si>
  <si>
    <t>fipronil</t>
  </si>
  <si>
    <t>2nd</t>
  </si>
  <si>
    <t>fung</t>
  </si>
  <si>
    <t>ins</t>
  </si>
  <si>
    <t>carbendazim</t>
  </si>
  <si>
    <t>trend new ,bactrol</t>
  </si>
  <si>
    <t>3rd</t>
  </si>
  <si>
    <t>fipronil, clofenaphyr</t>
  </si>
  <si>
    <t>Heading&amp;Flowering</t>
  </si>
  <si>
    <t>ระยะน้ำนมและเก็บเกี่ยว</t>
  </si>
  <si>
    <t>pre-emergence</t>
  </si>
  <si>
    <t>early-post emergence</t>
  </si>
  <si>
    <t>late-post emergence</t>
  </si>
  <si>
    <t>ระยะตั้งท้องออกรวง</t>
  </si>
  <si>
    <t>weed_stage</t>
  </si>
  <si>
    <t>ws001</t>
  </si>
  <si>
    <t>ws002</t>
  </si>
  <si>
    <t>ws003</t>
  </si>
  <si>
    <t>ws_id</t>
  </si>
  <si>
    <t>butachlor</t>
  </si>
  <si>
    <t>pretilachlor</t>
  </si>
  <si>
    <t>pendimethalin</t>
  </si>
  <si>
    <t>butachlor+propanil</t>
  </si>
  <si>
    <t>bispyribac-sodium</t>
  </si>
  <si>
    <t>2B</t>
  </si>
  <si>
    <t>profoxydim</t>
  </si>
  <si>
    <t>1A</t>
  </si>
  <si>
    <t>15K3+5C2</t>
  </si>
  <si>
    <t>3K1</t>
  </si>
  <si>
    <t>15K3</t>
  </si>
  <si>
    <t>metamiflop</t>
  </si>
  <si>
    <t>2B+1A</t>
  </si>
  <si>
    <t>penoxsulam+cyhalofop-butyl</t>
  </si>
  <si>
    <t>dimethenamid</t>
  </si>
  <si>
    <t>Fipronil</t>
  </si>
  <si>
    <t>Imidacloprid</t>
  </si>
  <si>
    <t>4A</t>
  </si>
  <si>
    <t>Thiamethoxam</t>
  </si>
  <si>
    <t>Acetamiprid</t>
  </si>
  <si>
    <t>Dinotefuran</t>
  </si>
  <si>
    <t>Spinosad</t>
  </si>
  <si>
    <t>5</t>
  </si>
  <si>
    <t>Spinetoram</t>
  </si>
  <si>
    <t>Abamectin</t>
  </si>
  <si>
    <t>6</t>
  </si>
  <si>
    <t>Emamectin benzoate</t>
  </si>
  <si>
    <t>Chlorfenapyr</t>
  </si>
  <si>
    <t>13</t>
  </si>
  <si>
    <t>Niclosamide</t>
  </si>
  <si>
    <t>None</t>
  </si>
  <si>
    <t>Metaldehyde</t>
  </si>
  <si>
    <t>Copper Sulfate</t>
  </si>
  <si>
    <t>Chlorantraniliprole</t>
  </si>
  <si>
    <t>28</t>
  </si>
  <si>
    <t>Indoxacarb</t>
  </si>
  <si>
    <t>22A</t>
  </si>
  <si>
    <t>Methoxyfenozide</t>
  </si>
  <si>
    <t>18</t>
  </si>
  <si>
    <t>Lufenuron</t>
  </si>
  <si>
    <t>15</t>
  </si>
  <si>
    <t>Novaluron</t>
  </si>
  <si>
    <t>Flubendiamide</t>
  </si>
  <si>
    <t>Cypermethrin</t>
  </si>
  <si>
    <t>3A</t>
  </si>
  <si>
    <t>Deltamethrin</t>
  </si>
  <si>
    <t>Lambda-cyhalothrin</t>
  </si>
  <si>
    <t>Cartap hydrochloride</t>
  </si>
  <si>
    <t>14</t>
  </si>
  <si>
    <t>Pymetrozine</t>
  </si>
  <si>
    <t>9B</t>
  </si>
  <si>
    <t>Triflumezopyrim</t>
  </si>
  <si>
    <t>4E</t>
  </si>
  <si>
    <t>Sulfoxaflor</t>
  </si>
  <si>
    <t>4C</t>
  </si>
  <si>
    <t>Buprofezin</t>
  </si>
  <si>
    <t>16</t>
  </si>
  <si>
    <t>Pyriproxyfen</t>
  </si>
  <si>
    <t>7C</t>
  </si>
  <si>
    <t>Spiromesifen</t>
  </si>
  <si>
    <t>23</t>
  </si>
  <si>
    <t>Tricyclazole</t>
  </si>
  <si>
    <t>16.1</t>
  </si>
  <si>
    <t>M03</t>
  </si>
  <si>
    <t>1</t>
  </si>
  <si>
    <t>Validamycin</t>
  </si>
  <si>
    <t>U18</t>
  </si>
  <si>
    <t>Thifluzamide</t>
  </si>
  <si>
    <t>7</t>
  </si>
  <si>
    <t>Mancozeb</t>
  </si>
  <si>
    <t>Carbendazim</t>
  </si>
  <si>
    <t>Copper hydroxide</t>
  </si>
  <si>
    <t>Isoprothiolane</t>
  </si>
  <si>
    <t>Edifenphos</t>
  </si>
  <si>
    <t>Azoxystrobin</t>
  </si>
  <si>
    <t>11</t>
  </si>
  <si>
    <t>Pyraclostrobin</t>
  </si>
  <si>
    <t>Difenoconazole</t>
  </si>
  <si>
    <t>3</t>
  </si>
  <si>
    <t>Chlorothalonil</t>
  </si>
  <si>
    <t>M05</t>
  </si>
  <si>
    <t>Propiconazole</t>
  </si>
  <si>
    <t>Thiophanate-methyl</t>
  </si>
  <si>
    <t>Flutolanil</t>
  </si>
  <si>
    <t>Pencycuron</t>
  </si>
  <si>
    <t>Hexaconazole</t>
  </si>
  <si>
    <t>Tebuconazole</t>
  </si>
  <si>
    <t>Copper oxychloride</t>
  </si>
  <si>
    <t>Kasugamycin</t>
  </si>
  <si>
    <t>24</t>
  </si>
  <si>
    <t>Streptomycin</t>
  </si>
  <si>
    <t>25</t>
  </si>
  <si>
    <t>Oxytetracycline</t>
  </si>
  <si>
    <t>41</t>
  </si>
  <si>
    <t>46-0-0</t>
  </si>
  <si>
    <t>16-20-0</t>
  </si>
  <si>
    <t>30-0-0</t>
  </si>
  <si>
    <t>Oryza sativa complex</t>
  </si>
  <si>
    <t xml:space="preserve">1st application </t>
  </si>
  <si>
    <t>2nd application</t>
  </si>
  <si>
    <t>3rd application</t>
  </si>
  <si>
    <t>granular</t>
  </si>
  <si>
    <t xml:space="preserve">granular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</si>
</sst>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0" fontId="2" fillId="0" borderId="0" xfId="0" applyFont="1"/>
    <xf numFmtId="49" fontId="2" fillId="0" borderId="0" xfId="0" applyNumberFormat="1" applyFont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49" fontId="3" fillId="0" borderId="0" xfId="0" applyNumberFormat="1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sheetPr filterMode="1"/>
  <dimension ref="A1:F38"/>
  <sheetViews>
    <sheetView zoomScale="120" zoomScaleNormal="120" workbookViewId="0">
      <selection activeCell="G42" sqref="G42"/>
    </sheetView>
  </sheetViews>
  <sheetFormatPr baseColWidth="10" defaultRowHeight="16" x14ac:dyDescent="0.2"/>
  <cols>
    <col min="2" max="2" width="23.33203125" customWidth="1"/>
    <col min="3" max="3" width="35.1640625" customWidth="1"/>
    <col min="4" max="4" width="36.33203125" customWidth="1"/>
  </cols>
  <sheetData>
    <row r="1" spans="1:6" x14ac:dyDescent="0.2">
      <c r="A1" t="s">
        <v>0</v>
      </c>
      <c r="B1" t="s">
        <v>1</v>
      </c>
      <c r="C1" t="s">
        <v>3</v>
      </c>
      <c r="D1" t="s">
        <v>45</v>
      </c>
      <c r="E1" t="s">
        <v>4</v>
      </c>
      <c r="F1" t="s">
        <v>5</v>
      </c>
    </row>
    <row r="2" spans="1:6" x14ac:dyDescent="0.2">
      <c r="A2" t="s">
        <v>2</v>
      </c>
      <c r="B2" t="s">
        <v>44</v>
      </c>
      <c r="C2" t="s">
        <v>192</v>
      </c>
      <c r="D2" t="s">
        <v>193</v>
      </c>
      <c r="E2">
        <v>0</v>
      </c>
      <c r="F2">
        <v>25</v>
      </c>
    </row>
    <row r="3" spans="1:6" x14ac:dyDescent="0.2">
      <c r="A3" t="s">
        <v>2</v>
      </c>
      <c r="B3" t="s">
        <v>44</v>
      </c>
      <c r="C3" t="s">
        <v>194</v>
      </c>
      <c r="D3" t="s">
        <v>195</v>
      </c>
      <c r="E3">
        <v>26</v>
      </c>
      <c r="F3">
        <v>60</v>
      </c>
    </row>
    <row r="4" spans="1:6" x14ac:dyDescent="0.2">
      <c r="A4" t="s">
        <v>2</v>
      </c>
      <c r="B4" t="s">
        <v>44</v>
      </c>
      <c r="C4" t="s">
        <v>323</v>
      </c>
      <c r="D4" t="s">
        <v>328</v>
      </c>
      <c r="E4">
        <v>61</v>
      </c>
      <c r="F4">
        <v>90</v>
      </c>
    </row>
    <row r="5" spans="1:6" x14ac:dyDescent="0.2">
      <c r="A5" t="s">
        <v>2</v>
      </c>
      <c r="B5" t="s">
        <v>44</v>
      </c>
      <c r="C5" t="s">
        <v>198</v>
      </c>
      <c r="D5" t="s">
        <v>324</v>
      </c>
      <c r="E5">
        <v>91</v>
      </c>
      <c r="F5">
        <v>120</v>
      </c>
    </row>
    <row r="11" spans="1:6" hidden="1" x14ac:dyDescent="0.2">
      <c r="A11" t="s">
        <v>218</v>
      </c>
      <c r="B11" t="s">
        <v>219</v>
      </c>
      <c r="C11" t="s">
        <v>192</v>
      </c>
      <c r="D11" t="s">
        <v>193</v>
      </c>
      <c r="E11">
        <v>0</v>
      </c>
      <c r="F11">
        <v>17</v>
      </c>
    </row>
    <row r="12" spans="1:6" hidden="1" x14ac:dyDescent="0.2">
      <c r="A12" t="s">
        <v>218</v>
      </c>
      <c r="B12" t="s">
        <v>219</v>
      </c>
      <c r="C12" t="s">
        <v>194</v>
      </c>
      <c r="D12" t="s">
        <v>195</v>
      </c>
      <c r="E12">
        <v>18</v>
      </c>
      <c r="F12">
        <v>38</v>
      </c>
    </row>
    <row r="13" spans="1:6" hidden="1" x14ac:dyDescent="0.2">
      <c r="A13" t="s">
        <v>218</v>
      </c>
      <c r="B13" t="s">
        <v>219</v>
      </c>
      <c r="C13" t="s">
        <v>196</v>
      </c>
      <c r="D13" t="s">
        <v>197</v>
      </c>
      <c r="E13">
        <v>39</v>
      </c>
      <c r="F13">
        <v>50</v>
      </c>
    </row>
    <row r="14" spans="1:6" hidden="1" x14ac:dyDescent="0.2">
      <c r="A14" t="s">
        <v>218</v>
      </c>
      <c r="B14" t="s">
        <v>219</v>
      </c>
      <c r="C14" t="s">
        <v>198</v>
      </c>
      <c r="D14" t="s">
        <v>199</v>
      </c>
      <c r="E14">
        <v>51</v>
      </c>
      <c r="F14">
        <v>63</v>
      </c>
    </row>
    <row r="15" spans="1:6" hidden="1" x14ac:dyDescent="0.2">
      <c r="A15" t="s">
        <v>218</v>
      </c>
      <c r="B15" t="s">
        <v>219</v>
      </c>
      <c r="C15" t="s">
        <v>200</v>
      </c>
      <c r="D15" t="s">
        <v>201</v>
      </c>
      <c r="E15">
        <v>64</v>
      </c>
      <c r="F15">
        <v>71</v>
      </c>
    </row>
    <row r="16" spans="1:6" hidden="1" x14ac:dyDescent="0.2">
      <c r="A16" t="s">
        <v>218</v>
      </c>
      <c r="B16" t="s">
        <v>219</v>
      </c>
      <c r="C16" t="s">
        <v>202</v>
      </c>
      <c r="D16" t="s">
        <v>203</v>
      </c>
      <c r="E16">
        <v>72</v>
      </c>
      <c r="F16">
        <v>75</v>
      </c>
    </row>
    <row r="17" spans="1:6" hidden="1" x14ac:dyDescent="0.2">
      <c r="A17" t="s">
        <v>218</v>
      </c>
      <c r="B17" t="s">
        <v>219</v>
      </c>
      <c r="C17" t="s">
        <v>204</v>
      </c>
      <c r="D17" t="s">
        <v>205</v>
      </c>
      <c r="E17">
        <v>76</v>
      </c>
      <c r="F17">
        <v>88</v>
      </c>
    </row>
    <row r="18" spans="1:6" hidden="1" x14ac:dyDescent="0.2">
      <c r="A18" t="s">
        <v>218</v>
      </c>
      <c r="B18" t="s">
        <v>219</v>
      </c>
      <c r="C18" t="s">
        <v>206</v>
      </c>
      <c r="D18" t="s">
        <v>207</v>
      </c>
      <c r="E18">
        <v>89</v>
      </c>
      <c r="F18">
        <v>96</v>
      </c>
    </row>
    <row r="19" spans="1:6" hidden="1" x14ac:dyDescent="0.2">
      <c r="A19" t="s">
        <v>218</v>
      </c>
      <c r="B19" t="s">
        <v>219</v>
      </c>
      <c r="C19" t="s">
        <v>208</v>
      </c>
      <c r="D19" t="s">
        <v>209</v>
      </c>
      <c r="E19">
        <v>97</v>
      </c>
      <c r="F19">
        <v>100</v>
      </c>
    </row>
    <row r="20" spans="1:6" hidden="1" x14ac:dyDescent="0.2">
      <c r="A20" t="s">
        <v>220</v>
      </c>
      <c r="B20" t="s">
        <v>221</v>
      </c>
      <c r="C20" t="s">
        <v>222</v>
      </c>
      <c r="D20" t="s">
        <v>223</v>
      </c>
      <c r="E20">
        <v>0</v>
      </c>
      <c r="F20">
        <v>30</v>
      </c>
    </row>
    <row r="21" spans="1:6" hidden="1" x14ac:dyDescent="0.2">
      <c r="A21" t="s">
        <v>220</v>
      </c>
      <c r="B21" t="s">
        <v>221</v>
      </c>
      <c r="C21" t="s">
        <v>224</v>
      </c>
      <c r="D21" t="s">
        <v>225</v>
      </c>
      <c r="E21">
        <v>31</v>
      </c>
      <c r="F21">
        <v>90</v>
      </c>
    </row>
    <row r="22" spans="1:6" hidden="1" x14ac:dyDescent="0.2">
      <c r="A22" t="s">
        <v>220</v>
      </c>
      <c r="B22" t="s">
        <v>221</v>
      </c>
      <c r="C22" t="s">
        <v>226</v>
      </c>
      <c r="D22" t="s">
        <v>227</v>
      </c>
      <c r="E22">
        <v>91</v>
      </c>
      <c r="F22">
        <v>365</v>
      </c>
    </row>
    <row r="23" spans="1:6" hidden="1" x14ac:dyDescent="0.2">
      <c r="A23" t="s">
        <v>220</v>
      </c>
      <c r="B23" t="s">
        <v>221</v>
      </c>
      <c r="C23" t="s">
        <v>228</v>
      </c>
      <c r="D23" t="s">
        <v>229</v>
      </c>
      <c r="E23">
        <v>366</v>
      </c>
      <c r="F23">
        <v>540</v>
      </c>
    </row>
    <row r="24" spans="1:6" hidden="1" x14ac:dyDescent="0.2">
      <c r="A24" t="s">
        <v>220</v>
      </c>
      <c r="B24" t="s">
        <v>221</v>
      </c>
      <c r="C24" t="s">
        <v>230</v>
      </c>
      <c r="D24" t="s">
        <v>231</v>
      </c>
      <c r="E24">
        <v>541</v>
      </c>
      <c r="F24">
        <v>730</v>
      </c>
    </row>
    <row r="25" spans="1:6" hidden="1" x14ac:dyDescent="0.2">
      <c r="A25" t="s">
        <v>220</v>
      </c>
      <c r="B25" t="s">
        <v>221</v>
      </c>
      <c r="C25" t="s">
        <v>232</v>
      </c>
      <c r="D25" t="s">
        <v>233</v>
      </c>
      <c r="E25">
        <v>731</v>
      </c>
      <c r="F25">
        <v>1095</v>
      </c>
    </row>
    <row r="26" spans="1:6" hidden="1" x14ac:dyDescent="0.2">
      <c r="A26" t="s">
        <v>220</v>
      </c>
      <c r="B26" t="s">
        <v>221</v>
      </c>
      <c r="C26" t="s">
        <v>234</v>
      </c>
      <c r="D26" t="s">
        <v>235</v>
      </c>
      <c r="E26">
        <v>1096</v>
      </c>
      <c r="F26">
        <v>1460</v>
      </c>
    </row>
    <row r="27" spans="1:6" hidden="1" x14ac:dyDescent="0.2">
      <c r="A27" t="s">
        <v>236</v>
      </c>
      <c r="B27" t="s">
        <v>237</v>
      </c>
      <c r="C27" t="s">
        <v>238</v>
      </c>
      <c r="D27" t="s">
        <v>239</v>
      </c>
      <c r="E27">
        <v>0</v>
      </c>
      <c r="F27">
        <v>30</v>
      </c>
    </row>
    <row r="28" spans="1:6" hidden="1" x14ac:dyDescent="0.2">
      <c r="A28" t="s">
        <v>236</v>
      </c>
      <c r="B28" t="s">
        <v>237</v>
      </c>
      <c r="C28" t="s">
        <v>240</v>
      </c>
      <c r="D28" t="s">
        <v>241</v>
      </c>
      <c r="E28">
        <v>31</v>
      </c>
      <c r="F28">
        <v>75</v>
      </c>
    </row>
    <row r="29" spans="1:6" hidden="1" x14ac:dyDescent="0.2">
      <c r="A29" t="s">
        <v>236</v>
      </c>
      <c r="B29" t="s">
        <v>237</v>
      </c>
      <c r="C29" t="s">
        <v>242</v>
      </c>
      <c r="D29" t="s">
        <v>243</v>
      </c>
      <c r="E29">
        <v>76</v>
      </c>
      <c r="F29">
        <v>120</v>
      </c>
    </row>
    <row r="30" spans="1:6" hidden="1" x14ac:dyDescent="0.2">
      <c r="A30" t="s">
        <v>236</v>
      </c>
      <c r="B30" t="s">
        <v>237</v>
      </c>
      <c r="C30" t="s">
        <v>244</v>
      </c>
      <c r="D30" t="s">
        <v>245</v>
      </c>
      <c r="E30">
        <v>121</v>
      </c>
      <c r="F30">
        <v>165</v>
      </c>
    </row>
    <row r="31" spans="1:6" hidden="1" x14ac:dyDescent="0.2">
      <c r="A31" t="s">
        <v>236</v>
      </c>
      <c r="B31" t="s">
        <v>237</v>
      </c>
      <c r="C31" t="s">
        <v>246</v>
      </c>
      <c r="D31" t="s">
        <v>247</v>
      </c>
      <c r="E31">
        <v>166</v>
      </c>
      <c r="F31">
        <v>210</v>
      </c>
    </row>
    <row r="32" spans="1:6" hidden="1" x14ac:dyDescent="0.2">
      <c r="A32" t="s">
        <v>236</v>
      </c>
      <c r="B32" t="s">
        <v>237</v>
      </c>
      <c r="C32" t="s">
        <v>248</v>
      </c>
      <c r="D32" t="s">
        <v>249</v>
      </c>
      <c r="E32">
        <v>211</v>
      </c>
      <c r="F32">
        <v>240</v>
      </c>
    </row>
    <row r="33" spans="1:6" hidden="1" x14ac:dyDescent="0.2">
      <c r="A33" t="s">
        <v>236</v>
      </c>
      <c r="B33" t="s">
        <v>237</v>
      </c>
      <c r="C33" t="s">
        <v>250</v>
      </c>
      <c r="D33" t="s">
        <v>203</v>
      </c>
      <c r="E33">
        <v>241</v>
      </c>
      <c r="F33">
        <v>265</v>
      </c>
    </row>
    <row r="34" spans="1:6" hidden="1" x14ac:dyDescent="0.2">
      <c r="A34" t="s">
        <v>236</v>
      </c>
      <c r="B34" t="s">
        <v>237</v>
      </c>
      <c r="C34" t="s">
        <v>251</v>
      </c>
      <c r="D34" t="s">
        <v>252</v>
      </c>
      <c r="E34">
        <v>266</v>
      </c>
      <c r="F34">
        <v>300</v>
      </c>
    </row>
    <row r="35" spans="1:6" hidden="1" x14ac:dyDescent="0.2">
      <c r="A35" t="s">
        <v>236</v>
      </c>
      <c r="B35" t="s">
        <v>237</v>
      </c>
      <c r="C35" t="s">
        <v>253</v>
      </c>
      <c r="D35" t="s">
        <v>254</v>
      </c>
      <c r="E35">
        <v>301</v>
      </c>
      <c r="F35">
        <v>350</v>
      </c>
    </row>
    <row r="36" spans="1:6" hidden="1" x14ac:dyDescent="0.2">
      <c r="A36" t="s">
        <v>236</v>
      </c>
      <c r="B36" t="s">
        <v>237</v>
      </c>
      <c r="C36" t="s">
        <v>255</v>
      </c>
      <c r="D36" t="s">
        <v>256</v>
      </c>
      <c r="E36">
        <v>351</v>
      </c>
      <c r="F36">
        <v>390</v>
      </c>
    </row>
    <row r="37" spans="1:6" hidden="1" x14ac:dyDescent="0.2">
      <c r="A37" t="s">
        <v>236</v>
      </c>
      <c r="B37" t="s">
        <v>237</v>
      </c>
      <c r="C37" t="s">
        <v>257</v>
      </c>
      <c r="D37" t="s">
        <v>258</v>
      </c>
      <c r="E37">
        <v>391</v>
      </c>
      <c r="F37">
        <v>420</v>
      </c>
    </row>
    <row r="38" spans="1:6" hidden="1" x14ac:dyDescent="0.2">
      <c r="A38" t="s">
        <v>236</v>
      </c>
      <c r="B38" t="s">
        <v>237</v>
      </c>
      <c r="C38" t="s">
        <v>259</v>
      </c>
      <c r="D38" t="s">
        <v>260</v>
      </c>
      <c r="E38">
        <v>421</v>
      </c>
      <c r="F38">
        <v>435</v>
      </c>
    </row>
  </sheetData>
  <autoFilter ref="A1:F38" xr:uid="{5B91F3A6-442D-424C-AB27-8C298D5989C1}">
    <filterColumn colId="1">
      <filters>
        <filter val="rice(120 days)"/>
      </filters>
    </filterColumn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sheetPr filterMode="1"/>
  <dimension ref="A1:X32"/>
  <sheetViews>
    <sheetView zoomScale="150" zoomScaleNormal="150" workbookViewId="0">
      <selection activeCell="G24" sqref="G24"/>
    </sheetView>
  </sheetViews>
  <sheetFormatPr baseColWidth="10" defaultRowHeight="16" x14ac:dyDescent="0.2"/>
  <cols>
    <col min="3" max="3" width="17.6640625" customWidth="1"/>
    <col min="5" max="5" width="21.5" customWidth="1"/>
    <col min="6" max="6" width="24.1640625" customWidth="1"/>
    <col min="7" max="8" width="25.1640625" customWidth="1"/>
    <col min="12" max="12" width="17.1640625" bestFit="1" customWidth="1"/>
  </cols>
  <sheetData>
    <row r="1" spans="1:10" x14ac:dyDescent="0.2">
      <c r="A1" t="s">
        <v>0</v>
      </c>
      <c r="B1" t="s">
        <v>333</v>
      </c>
      <c r="C1" t="s">
        <v>329</v>
      </c>
      <c r="D1" t="s">
        <v>9</v>
      </c>
      <c r="E1" t="s">
        <v>10</v>
      </c>
      <c r="F1" t="s">
        <v>11</v>
      </c>
      <c r="G1" t="s">
        <v>59</v>
      </c>
      <c r="H1" t="s">
        <v>26</v>
      </c>
      <c r="I1" t="s">
        <v>4</v>
      </c>
      <c r="J1" t="s">
        <v>5</v>
      </c>
    </row>
    <row r="2" spans="1:10" x14ac:dyDescent="0.2">
      <c r="A2" t="s">
        <v>2</v>
      </c>
      <c r="B2" t="s">
        <v>330</v>
      </c>
      <c r="C2" t="s">
        <v>325</v>
      </c>
      <c r="D2" t="s">
        <v>12</v>
      </c>
      <c r="E2" t="s">
        <v>76</v>
      </c>
      <c r="F2" t="s">
        <v>58</v>
      </c>
      <c r="G2" t="s">
        <v>64</v>
      </c>
      <c r="H2" t="s">
        <v>61</v>
      </c>
      <c r="I2">
        <v>0</v>
      </c>
      <c r="J2">
        <v>2</v>
      </c>
    </row>
    <row r="3" spans="1:10" hidden="1" x14ac:dyDescent="0.2">
      <c r="A3" t="s">
        <v>2</v>
      </c>
      <c r="B3" t="s">
        <v>330</v>
      </c>
      <c r="C3" t="s">
        <v>325</v>
      </c>
      <c r="D3" t="s">
        <v>13</v>
      </c>
      <c r="E3" t="s">
        <v>62</v>
      </c>
      <c r="F3" t="s">
        <v>60</v>
      </c>
      <c r="G3" t="s">
        <v>63</v>
      </c>
      <c r="H3" t="s">
        <v>61</v>
      </c>
      <c r="I3">
        <v>0</v>
      </c>
      <c r="J3">
        <v>2</v>
      </c>
    </row>
    <row r="4" spans="1:10" x14ac:dyDescent="0.2">
      <c r="A4" t="s">
        <v>2</v>
      </c>
      <c r="B4" t="s">
        <v>330</v>
      </c>
      <c r="C4" t="s">
        <v>325</v>
      </c>
      <c r="D4" t="s">
        <v>90</v>
      </c>
      <c r="E4" t="s">
        <v>100</v>
      </c>
      <c r="F4" t="s">
        <v>99</v>
      </c>
      <c r="G4" t="s">
        <v>431</v>
      </c>
      <c r="H4" t="s">
        <v>61</v>
      </c>
      <c r="I4">
        <v>0</v>
      </c>
      <c r="J4">
        <v>2</v>
      </c>
    </row>
    <row r="5" spans="1:10" x14ac:dyDescent="0.2">
      <c r="A5" t="s">
        <v>2</v>
      </c>
      <c r="B5" t="s">
        <v>331</v>
      </c>
      <c r="C5" t="s">
        <v>326</v>
      </c>
      <c r="D5" t="s">
        <v>12</v>
      </c>
      <c r="E5" t="s">
        <v>76</v>
      </c>
      <c r="F5" t="s">
        <v>58</v>
      </c>
      <c r="G5" t="s">
        <v>64</v>
      </c>
      <c r="H5" t="s">
        <v>61</v>
      </c>
      <c r="I5">
        <v>7</v>
      </c>
      <c r="J5">
        <v>10</v>
      </c>
    </row>
    <row r="6" spans="1:10" hidden="1" x14ac:dyDescent="0.2">
      <c r="A6" t="s">
        <v>2</v>
      </c>
      <c r="B6" t="s">
        <v>331</v>
      </c>
      <c r="C6" t="s">
        <v>326</v>
      </c>
      <c r="D6" t="s">
        <v>14</v>
      </c>
      <c r="E6" t="s">
        <v>67</v>
      </c>
      <c r="F6" t="s">
        <v>65</v>
      </c>
      <c r="G6" t="s">
        <v>66</v>
      </c>
      <c r="H6" t="s">
        <v>61</v>
      </c>
      <c r="I6">
        <v>7</v>
      </c>
      <c r="J6">
        <v>10</v>
      </c>
    </row>
    <row r="7" spans="1:10" hidden="1" x14ac:dyDescent="0.2">
      <c r="A7" t="s">
        <v>2</v>
      </c>
      <c r="B7" t="s">
        <v>331</v>
      </c>
      <c r="C7" t="s">
        <v>326</v>
      </c>
      <c r="D7" t="s">
        <v>15</v>
      </c>
      <c r="E7" t="s">
        <v>68</v>
      </c>
      <c r="F7" t="s">
        <v>69</v>
      </c>
      <c r="G7" t="s">
        <v>70</v>
      </c>
      <c r="H7" t="s">
        <v>61</v>
      </c>
      <c r="I7">
        <v>7</v>
      </c>
      <c r="J7">
        <v>10</v>
      </c>
    </row>
    <row r="8" spans="1:10" hidden="1" x14ac:dyDescent="0.2">
      <c r="A8" t="s">
        <v>2</v>
      </c>
      <c r="B8" t="s">
        <v>331</v>
      </c>
      <c r="C8" t="s">
        <v>326</v>
      </c>
      <c r="D8" t="s">
        <v>16</v>
      </c>
      <c r="E8" t="s">
        <v>75</v>
      </c>
      <c r="F8" t="s">
        <v>71</v>
      </c>
      <c r="G8" t="s">
        <v>73</v>
      </c>
      <c r="H8" t="s">
        <v>72</v>
      </c>
      <c r="I8">
        <v>7</v>
      </c>
      <c r="J8">
        <v>10</v>
      </c>
    </row>
    <row r="9" spans="1:10" hidden="1" x14ac:dyDescent="0.2">
      <c r="A9" t="s">
        <v>2</v>
      </c>
      <c r="B9" t="s">
        <v>331</v>
      </c>
      <c r="C9" t="s">
        <v>326</v>
      </c>
      <c r="D9" t="s">
        <v>74</v>
      </c>
      <c r="E9" t="s">
        <v>87</v>
      </c>
      <c r="F9" t="s">
        <v>78</v>
      </c>
      <c r="G9" t="s">
        <v>77</v>
      </c>
      <c r="H9" t="s">
        <v>72</v>
      </c>
      <c r="I9">
        <v>7</v>
      </c>
      <c r="J9">
        <v>10</v>
      </c>
    </row>
    <row r="10" spans="1:10" hidden="1" x14ac:dyDescent="0.2">
      <c r="A10" t="s">
        <v>2</v>
      </c>
      <c r="B10" t="s">
        <v>331</v>
      </c>
      <c r="C10" t="s">
        <v>326</v>
      </c>
      <c r="D10" t="s">
        <v>79</v>
      </c>
      <c r="E10" t="s">
        <v>80</v>
      </c>
      <c r="F10" t="s">
        <v>83</v>
      </c>
      <c r="G10" t="s">
        <v>82</v>
      </c>
      <c r="H10" t="s">
        <v>72</v>
      </c>
      <c r="I10">
        <v>7</v>
      </c>
      <c r="J10">
        <v>10</v>
      </c>
    </row>
    <row r="11" spans="1:10" hidden="1" x14ac:dyDescent="0.2">
      <c r="A11" t="s">
        <v>2</v>
      </c>
      <c r="B11" t="s">
        <v>331</v>
      </c>
      <c r="C11" t="s">
        <v>326</v>
      </c>
      <c r="D11" t="s">
        <v>81</v>
      </c>
      <c r="E11" t="s">
        <v>88</v>
      </c>
      <c r="F11" t="s">
        <v>17</v>
      </c>
      <c r="G11" t="s">
        <v>92</v>
      </c>
      <c r="H11" t="s">
        <v>72</v>
      </c>
      <c r="I11">
        <v>7</v>
      </c>
      <c r="J11">
        <v>10</v>
      </c>
    </row>
    <row r="12" spans="1:10" hidden="1" x14ac:dyDescent="0.2">
      <c r="A12" t="s">
        <v>2</v>
      </c>
      <c r="B12" t="s">
        <v>331</v>
      </c>
      <c r="C12" t="s">
        <v>326</v>
      </c>
      <c r="D12" t="s">
        <v>86</v>
      </c>
      <c r="E12" t="s">
        <v>84</v>
      </c>
      <c r="F12" t="s">
        <v>91</v>
      </c>
      <c r="G12" t="s">
        <v>85</v>
      </c>
      <c r="H12" t="s">
        <v>93</v>
      </c>
      <c r="I12">
        <v>7</v>
      </c>
      <c r="J12">
        <v>10</v>
      </c>
    </row>
    <row r="13" spans="1:10" ht="27" hidden="1" customHeight="1" x14ac:dyDescent="0.2">
      <c r="A13" t="s">
        <v>2</v>
      </c>
      <c r="B13" t="s">
        <v>331</v>
      </c>
      <c r="C13" t="s">
        <v>326</v>
      </c>
      <c r="D13" t="s">
        <v>89</v>
      </c>
      <c r="E13" t="s">
        <v>95</v>
      </c>
      <c r="F13" t="s">
        <v>94</v>
      </c>
      <c r="G13" t="s">
        <v>96</v>
      </c>
      <c r="H13" t="s">
        <v>93</v>
      </c>
      <c r="I13">
        <v>7</v>
      </c>
      <c r="J13">
        <v>10</v>
      </c>
    </row>
    <row r="14" spans="1:10" x14ac:dyDescent="0.2">
      <c r="A14" t="s">
        <v>2</v>
      </c>
      <c r="B14" t="s">
        <v>331</v>
      </c>
      <c r="C14" t="s">
        <v>326</v>
      </c>
      <c r="D14" t="s">
        <v>90</v>
      </c>
      <c r="E14" t="s">
        <v>100</v>
      </c>
      <c r="F14" t="s">
        <v>99</v>
      </c>
      <c r="G14" t="s">
        <v>431</v>
      </c>
      <c r="H14" t="s">
        <v>61</v>
      </c>
      <c r="I14">
        <v>7</v>
      </c>
      <c r="J14">
        <v>10</v>
      </c>
    </row>
    <row r="15" spans="1:10" x14ac:dyDescent="0.2">
      <c r="A15" t="s">
        <v>2</v>
      </c>
      <c r="B15" t="s">
        <v>332</v>
      </c>
      <c r="C15" t="s">
        <v>327</v>
      </c>
      <c r="D15" t="s">
        <v>12</v>
      </c>
      <c r="E15" t="s">
        <v>76</v>
      </c>
      <c r="F15" t="s">
        <v>58</v>
      </c>
      <c r="G15" t="s">
        <v>64</v>
      </c>
      <c r="H15" t="s">
        <v>61</v>
      </c>
      <c r="I15">
        <v>25</v>
      </c>
      <c r="J15">
        <v>30</v>
      </c>
    </row>
    <row r="16" spans="1:10" hidden="1" x14ac:dyDescent="0.2">
      <c r="A16" t="s">
        <v>2</v>
      </c>
      <c r="B16" t="s">
        <v>332</v>
      </c>
      <c r="C16" t="s">
        <v>327</v>
      </c>
      <c r="D16" t="s">
        <v>14</v>
      </c>
      <c r="E16" t="s">
        <v>67</v>
      </c>
      <c r="F16" t="s">
        <v>65</v>
      </c>
      <c r="G16" t="s">
        <v>66</v>
      </c>
      <c r="H16" t="s">
        <v>61</v>
      </c>
      <c r="I16">
        <v>25</v>
      </c>
      <c r="J16">
        <v>30</v>
      </c>
    </row>
    <row r="17" spans="1:24" hidden="1" x14ac:dyDescent="0.2">
      <c r="A17" t="s">
        <v>2</v>
      </c>
      <c r="B17" t="s">
        <v>332</v>
      </c>
      <c r="C17" t="s">
        <v>327</v>
      </c>
      <c r="D17" t="s">
        <v>15</v>
      </c>
      <c r="E17" t="s">
        <v>68</v>
      </c>
      <c r="F17" t="s">
        <v>69</v>
      </c>
      <c r="G17" t="s">
        <v>70</v>
      </c>
      <c r="H17" t="s">
        <v>61</v>
      </c>
      <c r="I17">
        <v>25</v>
      </c>
      <c r="J17">
        <v>30</v>
      </c>
    </row>
    <row r="18" spans="1:24" hidden="1" x14ac:dyDescent="0.2">
      <c r="A18" t="s">
        <v>2</v>
      </c>
      <c r="B18" t="s">
        <v>332</v>
      </c>
      <c r="C18" t="s">
        <v>327</v>
      </c>
      <c r="D18" t="s">
        <v>16</v>
      </c>
      <c r="E18" t="s">
        <v>75</v>
      </c>
      <c r="F18" t="s">
        <v>71</v>
      </c>
      <c r="G18" t="s">
        <v>73</v>
      </c>
      <c r="H18" t="s">
        <v>72</v>
      </c>
      <c r="I18">
        <v>25</v>
      </c>
      <c r="J18">
        <v>30</v>
      </c>
      <c r="U18" t="s">
        <v>296</v>
      </c>
      <c r="V18" t="s">
        <v>297</v>
      </c>
      <c r="W18">
        <v>1</v>
      </c>
    </row>
    <row r="19" spans="1:24" hidden="1" x14ac:dyDescent="0.2">
      <c r="A19" t="s">
        <v>2</v>
      </c>
      <c r="B19" t="s">
        <v>332</v>
      </c>
      <c r="C19" t="s">
        <v>327</v>
      </c>
      <c r="D19" t="s">
        <v>74</v>
      </c>
      <c r="E19" t="s">
        <v>87</v>
      </c>
      <c r="F19" t="s">
        <v>78</v>
      </c>
      <c r="G19" t="s">
        <v>77</v>
      </c>
      <c r="H19" t="s">
        <v>72</v>
      </c>
      <c r="I19">
        <v>25</v>
      </c>
      <c r="J19">
        <v>30</v>
      </c>
      <c r="V19" t="s">
        <v>298</v>
      </c>
    </row>
    <row r="20" spans="1:24" hidden="1" x14ac:dyDescent="0.2">
      <c r="A20" t="s">
        <v>2</v>
      </c>
      <c r="B20" t="s">
        <v>332</v>
      </c>
      <c r="C20" t="s">
        <v>327</v>
      </c>
      <c r="D20" t="s">
        <v>79</v>
      </c>
      <c r="E20" t="s">
        <v>80</v>
      </c>
      <c r="F20" t="s">
        <v>83</v>
      </c>
      <c r="G20" t="s">
        <v>82</v>
      </c>
      <c r="H20" t="s">
        <v>72</v>
      </c>
      <c r="I20">
        <v>25</v>
      </c>
      <c r="J20">
        <v>30</v>
      </c>
    </row>
    <row r="21" spans="1:24" hidden="1" x14ac:dyDescent="0.2">
      <c r="A21" t="s">
        <v>2</v>
      </c>
      <c r="B21" t="s">
        <v>332</v>
      </c>
      <c r="C21" t="s">
        <v>327</v>
      </c>
      <c r="D21" t="s">
        <v>81</v>
      </c>
      <c r="E21" t="s">
        <v>88</v>
      </c>
      <c r="F21" t="s">
        <v>17</v>
      </c>
      <c r="G21" t="s">
        <v>92</v>
      </c>
      <c r="H21" t="s">
        <v>72</v>
      </c>
      <c r="I21">
        <v>25</v>
      </c>
      <c r="J21">
        <v>30</v>
      </c>
      <c r="U21" t="s">
        <v>299</v>
      </c>
      <c r="V21" t="s">
        <v>300</v>
      </c>
      <c r="W21">
        <v>7</v>
      </c>
      <c r="X21">
        <v>10</v>
      </c>
    </row>
    <row r="22" spans="1:24" hidden="1" x14ac:dyDescent="0.2">
      <c r="A22" t="s">
        <v>2</v>
      </c>
      <c r="B22" t="s">
        <v>332</v>
      </c>
      <c r="C22" t="s">
        <v>327</v>
      </c>
      <c r="D22" t="s">
        <v>86</v>
      </c>
      <c r="E22" t="s">
        <v>84</v>
      </c>
      <c r="F22" t="s">
        <v>91</v>
      </c>
      <c r="G22" t="s">
        <v>85</v>
      </c>
      <c r="H22" t="s">
        <v>93</v>
      </c>
      <c r="I22">
        <v>25</v>
      </c>
      <c r="J22">
        <v>30</v>
      </c>
      <c r="V22" t="s">
        <v>302</v>
      </c>
    </row>
    <row r="23" spans="1:24" hidden="1" x14ac:dyDescent="0.2">
      <c r="A23" t="s">
        <v>2</v>
      </c>
      <c r="B23" t="s">
        <v>332</v>
      </c>
      <c r="C23" t="s">
        <v>327</v>
      </c>
      <c r="D23" t="s">
        <v>89</v>
      </c>
      <c r="E23" t="s">
        <v>95</v>
      </c>
      <c r="F23" t="s">
        <v>94</v>
      </c>
      <c r="G23" t="s">
        <v>96</v>
      </c>
      <c r="H23" t="s">
        <v>93</v>
      </c>
      <c r="I23">
        <v>25</v>
      </c>
      <c r="J23">
        <v>30</v>
      </c>
      <c r="V23" t="s">
        <v>303</v>
      </c>
    </row>
    <row r="24" spans="1:24" x14ac:dyDescent="0.2">
      <c r="A24" t="s">
        <v>2</v>
      </c>
      <c r="B24" t="s">
        <v>332</v>
      </c>
      <c r="C24" t="s">
        <v>327</v>
      </c>
      <c r="D24" t="s">
        <v>90</v>
      </c>
      <c r="E24" t="s">
        <v>100</v>
      </c>
      <c r="F24" t="s">
        <v>99</v>
      </c>
      <c r="G24" t="s">
        <v>431</v>
      </c>
      <c r="H24" t="s">
        <v>61</v>
      </c>
      <c r="I24">
        <v>25</v>
      </c>
      <c r="J24">
        <v>30</v>
      </c>
      <c r="V24" t="s">
        <v>307</v>
      </c>
    </row>
    <row r="28" spans="1:24" x14ac:dyDescent="0.2">
      <c r="U28" t="s">
        <v>301</v>
      </c>
      <c r="V28" t="s">
        <v>304</v>
      </c>
      <c r="W28">
        <v>25</v>
      </c>
      <c r="X28">
        <v>35</v>
      </c>
    </row>
    <row r="29" spans="1:24" x14ac:dyDescent="0.2">
      <c r="V29" t="s">
        <v>305</v>
      </c>
    </row>
    <row r="30" spans="1:24" x14ac:dyDescent="0.2">
      <c r="V30" t="s">
        <v>306</v>
      </c>
    </row>
    <row r="31" spans="1:24" x14ac:dyDescent="0.2">
      <c r="V31" t="s">
        <v>307</v>
      </c>
    </row>
    <row r="32" spans="1:24" x14ac:dyDescent="0.2">
      <c r="V32" t="s">
        <v>308</v>
      </c>
    </row>
  </sheetData>
  <autoFilter ref="A1:J24" xr:uid="{25DC8924-44E5-AD4B-87B5-2CDA623494C9}">
    <filterColumn colId="5">
      <filters>
        <filter val="ข้าววัชพืช"/>
        <filter val="หญ้าข้าวนก"/>
      </filters>
    </filterColumn>
  </autoFilter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sheetPr filterMode="1"/>
  <dimension ref="A1:M57"/>
  <sheetViews>
    <sheetView zoomScale="139" zoomScaleNormal="140" workbookViewId="0">
      <selection activeCell="D56" sqref="D56"/>
    </sheetView>
  </sheetViews>
  <sheetFormatPr baseColWidth="10" defaultRowHeight="16" x14ac:dyDescent="0.2"/>
  <cols>
    <col min="3" max="3" width="29.1640625" customWidth="1"/>
    <col min="4" max="4" width="32" customWidth="1"/>
    <col min="5" max="5" width="18.6640625" customWidth="1"/>
    <col min="9" max="9" width="19.6640625" customWidth="1"/>
  </cols>
  <sheetData>
    <row r="1" spans="1:9" x14ac:dyDescent="0.2">
      <c r="A1" t="s">
        <v>0</v>
      </c>
      <c r="B1" t="s">
        <v>6</v>
      </c>
      <c r="C1" t="s">
        <v>7</v>
      </c>
      <c r="D1" t="s">
        <v>8</v>
      </c>
      <c r="E1" t="s">
        <v>101</v>
      </c>
      <c r="F1" t="s">
        <v>4</v>
      </c>
      <c r="G1" t="s">
        <v>5</v>
      </c>
    </row>
    <row r="2" spans="1:9" x14ac:dyDescent="0.2">
      <c r="A2" t="s">
        <v>2</v>
      </c>
      <c r="B2" t="s">
        <v>29</v>
      </c>
      <c r="C2" t="s">
        <v>46</v>
      </c>
      <c r="D2" t="s">
        <v>47</v>
      </c>
      <c r="E2" t="s">
        <v>102</v>
      </c>
      <c r="F2">
        <v>0</v>
      </c>
      <c r="G2">
        <v>15</v>
      </c>
      <c r="I2" t="s">
        <v>309</v>
      </c>
    </row>
    <row r="3" spans="1:9" x14ac:dyDescent="0.2">
      <c r="A3" t="s">
        <v>2</v>
      </c>
      <c r="B3" t="s">
        <v>30</v>
      </c>
      <c r="C3" t="s">
        <v>104</v>
      </c>
      <c r="D3" t="s">
        <v>105</v>
      </c>
      <c r="E3" t="s">
        <v>103</v>
      </c>
      <c r="F3">
        <v>4</v>
      </c>
      <c r="G3">
        <v>20</v>
      </c>
      <c r="I3" t="s">
        <v>310</v>
      </c>
    </row>
    <row r="4" spans="1:9" x14ac:dyDescent="0.2">
      <c r="A4" t="s">
        <v>2</v>
      </c>
      <c r="B4" t="s">
        <v>31</v>
      </c>
      <c r="C4" t="s">
        <v>108</v>
      </c>
      <c r="D4" t="s">
        <v>109</v>
      </c>
      <c r="E4" t="s">
        <v>107</v>
      </c>
      <c r="F4">
        <v>0</v>
      </c>
      <c r="G4">
        <v>20</v>
      </c>
      <c r="I4" t="s">
        <v>311</v>
      </c>
    </row>
    <row r="5" spans="1:9" x14ac:dyDescent="0.2">
      <c r="A5" t="s">
        <v>2</v>
      </c>
      <c r="B5" t="s">
        <v>32</v>
      </c>
      <c r="C5" t="s">
        <v>113</v>
      </c>
      <c r="D5" t="s">
        <v>114</v>
      </c>
      <c r="E5" t="s">
        <v>112</v>
      </c>
      <c r="F5">
        <v>5</v>
      </c>
      <c r="G5">
        <v>45</v>
      </c>
      <c r="I5" t="s">
        <v>313</v>
      </c>
    </row>
    <row r="6" spans="1:9" x14ac:dyDescent="0.2">
      <c r="A6" t="s">
        <v>2</v>
      </c>
      <c r="B6" t="s">
        <v>33</v>
      </c>
      <c r="C6" t="s">
        <v>115</v>
      </c>
      <c r="D6" t="s">
        <v>116</v>
      </c>
      <c r="E6" t="s">
        <v>106</v>
      </c>
      <c r="F6">
        <v>10</v>
      </c>
      <c r="G6">
        <v>60</v>
      </c>
    </row>
    <row r="7" spans="1:9" x14ac:dyDescent="0.2">
      <c r="A7" t="s">
        <v>2</v>
      </c>
      <c r="B7" t="s">
        <v>53</v>
      </c>
      <c r="C7" t="s">
        <v>117</v>
      </c>
      <c r="D7" t="s">
        <v>52</v>
      </c>
      <c r="E7" t="s">
        <v>107</v>
      </c>
      <c r="F7">
        <v>21</v>
      </c>
      <c r="G7">
        <v>120</v>
      </c>
    </row>
    <row r="8" spans="1:9" x14ac:dyDescent="0.2">
      <c r="A8" t="s">
        <v>2</v>
      </c>
      <c r="B8" t="s">
        <v>123</v>
      </c>
      <c r="C8" t="s">
        <v>50</v>
      </c>
      <c r="D8" t="s">
        <v>51</v>
      </c>
      <c r="E8" t="s">
        <v>107</v>
      </c>
      <c r="F8">
        <v>21</v>
      </c>
      <c r="G8">
        <v>120</v>
      </c>
      <c r="I8" t="s">
        <v>312</v>
      </c>
    </row>
    <row r="9" spans="1:9" x14ac:dyDescent="0.2">
      <c r="A9" t="s">
        <v>2</v>
      </c>
      <c r="B9" t="s">
        <v>124</v>
      </c>
      <c r="C9" t="s">
        <v>48</v>
      </c>
      <c r="D9" t="s">
        <v>49</v>
      </c>
      <c r="E9" t="s">
        <v>110</v>
      </c>
      <c r="F9">
        <v>10</v>
      </c>
      <c r="G9">
        <v>120</v>
      </c>
    </row>
    <row r="10" spans="1:9" x14ac:dyDescent="0.2">
      <c r="A10" t="s">
        <v>2</v>
      </c>
      <c r="B10" t="s">
        <v>125</v>
      </c>
      <c r="C10" t="s">
        <v>111</v>
      </c>
      <c r="D10" t="s">
        <v>118</v>
      </c>
      <c r="E10" t="s">
        <v>110</v>
      </c>
      <c r="F10">
        <v>76</v>
      </c>
      <c r="G10">
        <v>120</v>
      </c>
    </row>
    <row r="11" spans="1:9" x14ac:dyDescent="0.2">
      <c r="A11" t="s">
        <v>2</v>
      </c>
      <c r="B11" t="s">
        <v>126</v>
      </c>
      <c r="C11" t="s">
        <v>119</v>
      </c>
      <c r="D11" t="s">
        <v>120</v>
      </c>
      <c r="E11" t="s">
        <v>110</v>
      </c>
      <c r="F11">
        <v>20</v>
      </c>
      <c r="G11">
        <v>120</v>
      </c>
    </row>
    <row r="12" spans="1:9" x14ac:dyDescent="0.2">
      <c r="A12" t="s">
        <v>2</v>
      </c>
      <c r="B12" t="s">
        <v>127</v>
      </c>
      <c r="C12" t="s">
        <v>121</v>
      </c>
      <c r="D12" t="s">
        <v>122</v>
      </c>
      <c r="E12" t="s">
        <v>107</v>
      </c>
      <c r="F12">
        <v>80</v>
      </c>
      <c r="G12">
        <v>120</v>
      </c>
    </row>
    <row r="13" spans="1:9" x14ac:dyDescent="0.2">
      <c r="A13" t="s">
        <v>2</v>
      </c>
      <c r="B13" t="s">
        <v>128</v>
      </c>
      <c r="C13" t="s">
        <v>191</v>
      </c>
      <c r="D13" t="s">
        <v>190</v>
      </c>
      <c r="E13" t="s">
        <v>110</v>
      </c>
      <c r="F13">
        <v>21</v>
      </c>
      <c r="G13">
        <v>120</v>
      </c>
    </row>
    <row r="14" spans="1:9" hidden="1" x14ac:dyDescent="0.2">
      <c r="A14" t="s">
        <v>218</v>
      </c>
      <c r="B14" t="s">
        <v>29</v>
      </c>
      <c r="C14" t="s">
        <v>46</v>
      </c>
      <c r="D14" t="s">
        <v>47</v>
      </c>
      <c r="E14" t="s">
        <v>102</v>
      </c>
      <c r="F14">
        <v>0</v>
      </c>
      <c r="G14">
        <v>17</v>
      </c>
    </row>
    <row r="15" spans="1:9" hidden="1" x14ac:dyDescent="0.2">
      <c r="A15" t="s">
        <v>218</v>
      </c>
      <c r="B15" t="s">
        <v>30</v>
      </c>
      <c r="C15" t="s">
        <v>104</v>
      </c>
      <c r="D15" t="s">
        <v>105</v>
      </c>
      <c r="E15" t="s">
        <v>103</v>
      </c>
      <c r="F15">
        <v>0</v>
      </c>
      <c r="G15">
        <v>25</v>
      </c>
    </row>
    <row r="16" spans="1:9" hidden="1" x14ac:dyDescent="0.2">
      <c r="A16" t="s">
        <v>218</v>
      </c>
      <c r="B16" t="s">
        <v>31</v>
      </c>
      <c r="C16" t="s">
        <v>108</v>
      </c>
      <c r="D16" t="s">
        <v>109</v>
      </c>
      <c r="E16" t="s">
        <v>107</v>
      </c>
      <c r="F16">
        <v>0</v>
      </c>
      <c r="G16">
        <v>25</v>
      </c>
    </row>
    <row r="17" spans="1:7" hidden="1" x14ac:dyDescent="0.2">
      <c r="A17" t="s">
        <v>218</v>
      </c>
      <c r="B17" t="s">
        <v>32</v>
      </c>
      <c r="C17" t="s">
        <v>113</v>
      </c>
      <c r="D17" t="s">
        <v>114</v>
      </c>
      <c r="E17" t="s">
        <v>112</v>
      </c>
      <c r="F17">
        <v>10</v>
      </c>
      <c r="G17">
        <v>50</v>
      </c>
    </row>
    <row r="18" spans="1:7" hidden="1" x14ac:dyDescent="0.2">
      <c r="A18" t="s">
        <v>218</v>
      </c>
      <c r="B18" t="s">
        <v>33</v>
      </c>
      <c r="C18" t="s">
        <v>115</v>
      </c>
      <c r="D18" t="s">
        <v>116</v>
      </c>
      <c r="E18" t="s">
        <v>106</v>
      </c>
      <c r="F18">
        <v>10</v>
      </c>
      <c r="G18">
        <v>50</v>
      </c>
    </row>
    <row r="19" spans="1:7" hidden="1" x14ac:dyDescent="0.2">
      <c r="A19" t="s">
        <v>218</v>
      </c>
      <c r="B19" t="s">
        <v>53</v>
      </c>
      <c r="C19" t="s">
        <v>117</v>
      </c>
      <c r="D19" t="s">
        <v>52</v>
      </c>
      <c r="E19" t="s">
        <v>107</v>
      </c>
      <c r="F19">
        <v>10</v>
      </c>
      <c r="G19">
        <v>120</v>
      </c>
    </row>
    <row r="20" spans="1:7" hidden="1" x14ac:dyDescent="0.2">
      <c r="A20" t="s">
        <v>218</v>
      </c>
      <c r="B20" t="s">
        <v>123</v>
      </c>
      <c r="C20" t="s">
        <v>50</v>
      </c>
      <c r="D20" t="s">
        <v>51</v>
      </c>
      <c r="E20" t="s">
        <v>107</v>
      </c>
      <c r="F20">
        <v>20</v>
      </c>
      <c r="G20">
        <v>120</v>
      </c>
    </row>
    <row r="21" spans="1:7" hidden="1" x14ac:dyDescent="0.2">
      <c r="A21" t="s">
        <v>218</v>
      </c>
      <c r="B21" t="s">
        <v>124</v>
      </c>
      <c r="C21" t="s">
        <v>48</v>
      </c>
      <c r="D21" t="s">
        <v>49</v>
      </c>
      <c r="E21" t="s">
        <v>110</v>
      </c>
      <c r="F21">
        <v>10</v>
      </c>
      <c r="G21">
        <v>120</v>
      </c>
    </row>
    <row r="22" spans="1:7" hidden="1" x14ac:dyDescent="0.2">
      <c r="A22" t="s">
        <v>218</v>
      </c>
      <c r="B22" t="s">
        <v>125</v>
      </c>
      <c r="C22" t="s">
        <v>111</v>
      </c>
      <c r="D22" t="s">
        <v>118</v>
      </c>
      <c r="E22" t="s">
        <v>110</v>
      </c>
      <c r="F22">
        <v>20</v>
      </c>
      <c r="G22">
        <v>120</v>
      </c>
    </row>
    <row r="23" spans="1:7" hidden="1" x14ac:dyDescent="0.2">
      <c r="A23" t="s">
        <v>218</v>
      </c>
      <c r="B23" t="s">
        <v>126</v>
      </c>
      <c r="C23" t="s">
        <v>119</v>
      </c>
      <c r="D23" t="s">
        <v>120</v>
      </c>
      <c r="E23" t="s">
        <v>110</v>
      </c>
      <c r="F23">
        <v>20</v>
      </c>
      <c r="G23">
        <v>120</v>
      </c>
    </row>
    <row r="24" spans="1:7" hidden="1" x14ac:dyDescent="0.2">
      <c r="A24" t="s">
        <v>218</v>
      </c>
      <c r="B24" t="s">
        <v>127</v>
      </c>
      <c r="C24" t="s">
        <v>121</v>
      </c>
      <c r="D24" t="s">
        <v>122</v>
      </c>
      <c r="E24" t="s">
        <v>107</v>
      </c>
      <c r="F24">
        <v>80</v>
      </c>
      <c r="G24">
        <v>120</v>
      </c>
    </row>
    <row r="25" spans="1:7" hidden="1" x14ac:dyDescent="0.2">
      <c r="A25" t="s">
        <v>218</v>
      </c>
      <c r="B25" t="s">
        <v>128</v>
      </c>
      <c r="C25" t="s">
        <v>191</v>
      </c>
      <c r="D25" t="s">
        <v>190</v>
      </c>
      <c r="E25" t="s">
        <v>110</v>
      </c>
      <c r="F25">
        <v>0</v>
      </c>
      <c r="G25">
        <v>50</v>
      </c>
    </row>
    <row r="26" spans="1:7" ht="17" hidden="1" x14ac:dyDescent="0.2">
      <c r="A26" t="s">
        <v>220</v>
      </c>
      <c r="B26" t="s">
        <v>29</v>
      </c>
      <c r="C26" s="4" t="s">
        <v>272</v>
      </c>
      <c r="D26" s="4" t="s">
        <v>262</v>
      </c>
      <c r="E26" s="4" t="s">
        <v>107</v>
      </c>
      <c r="F26" s="5">
        <v>0</v>
      </c>
      <c r="G26" s="5">
        <v>1460</v>
      </c>
    </row>
    <row r="27" spans="1:7" ht="17" hidden="1" x14ac:dyDescent="0.2">
      <c r="A27" t="s">
        <v>220</v>
      </c>
      <c r="B27" t="s">
        <v>30</v>
      </c>
      <c r="C27" s="4" t="s">
        <v>273</v>
      </c>
      <c r="D27" s="4" t="s">
        <v>263</v>
      </c>
      <c r="E27" s="4" t="s">
        <v>110</v>
      </c>
      <c r="F27" s="5">
        <v>30</v>
      </c>
      <c r="G27" s="5">
        <v>1200</v>
      </c>
    </row>
    <row r="28" spans="1:7" ht="17" hidden="1" x14ac:dyDescent="0.2">
      <c r="A28" t="s">
        <v>220</v>
      </c>
      <c r="B28" t="s">
        <v>31</v>
      </c>
      <c r="C28" s="4" t="s">
        <v>284</v>
      </c>
      <c r="D28" s="4" t="s">
        <v>264</v>
      </c>
      <c r="E28" s="4" t="s">
        <v>107</v>
      </c>
      <c r="F28" s="5">
        <v>0</v>
      </c>
      <c r="G28" s="5">
        <v>1460</v>
      </c>
    </row>
    <row r="29" spans="1:7" ht="17" hidden="1" x14ac:dyDescent="0.2">
      <c r="A29" t="s">
        <v>220</v>
      </c>
      <c r="B29" t="s">
        <v>32</v>
      </c>
      <c r="C29" s="4" t="s">
        <v>285</v>
      </c>
      <c r="D29" s="4" t="s">
        <v>265</v>
      </c>
      <c r="E29" s="4" t="s">
        <v>110</v>
      </c>
      <c r="F29" s="5">
        <v>0</v>
      </c>
      <c r="G29" s="5">
        <v>1460</v>
      </c>
    </row>
    <row r="30" spans="1:7" ht="17" hidden="1" x14ac:dyDescent="0.2">
      <c r="A30" t="s">
        <v>220</v>
      </c>
      <c r="B30" t="s">
        <v>33</v>
      </c>
      <c r="C30" s="4" t="s">
        <v>279</v>
      </c>
      <c r="D30" s="4" t="s">
        <v>280</v>
      </c>
      <c r="E30" s="4" t="s">
        <v>102</v>
      </c>
      <c r="F30" s="5">
        <v>30</v>
      </c>
      <c r="G30" s="5">
        <v>1460</v>
      </c>
    </row>
    <row r="31" spans="1:7" ht="17" hidden="1" x14ac:dyDescent="0.2">
      <c r="A31" t="s">
        <v>220</v>
      </c>
      <c r="B31" t="s">
        <v>53</v>
      </c>
      <c r="C31" s="4" t="s">
        <v>286</v>
      </c>
      <c r="D31" s="4" t="s">
        <v>266</v>
      </c>
      <c r="E31" s="4" t="s">
        <v>106</v>
      </c>
      <c r="F31" s="5">
        <v>0</v>
      </c>
      <c r="G31" s="5">
        <v>1460</v>
      </c>
    </row>
    <row r="32" spans="1:7" ht="17" hidden="1" x14ac:dyDescent="0.2">
      <c r="A32" t="s">
        <v>220</v>
      </c>
      <c r="B32" t="s">
        <v>123</v>
      </c>
      <c r="C32" s="4" t="s">
        <v>274</v>
      </c>
      <c r="D32" s="4" t="s">
        <v>267</v>
      </c>
      <c r="E32" s="4" t="s">
        <v>106</v>
      </c>
      <c r="F32" s="5">
        <v>0</v>
      </c>
      <c r="G32" s="5">
        <v>1460</v>
      </c>
    </row>
    <row r="33" spans="1:8" ht="17" hidden="1" x14ac:dyDescent="0.2">
      <c r="A33" t="s">
        <v>220</v>
      </c>
      <c r="B33" t="s">
        <v>124</v>
      </c>
      <c r="C33" s="4" t="s">
        <v>275</v>
      </c>
      <c r="D33" s="4" t="s">
        <v>268</v>
      </c>
      <c r="E33" s="4" t="s">
        <v>110</v>
      </c>
      <c r="F33" s="5">
        <v>0</v>
      </c>
      <c r="G33" s="5">
        <v>1460</v>
      </c>
    </row>
    <row r="34" spans="1:8" ht="17" hidden="1" x14ac:dyDescent="0.2">
      <c r="A34" t="s">
        <v>220</v>
      </c>
      <c r="B34" t="s">
        <v>125</v>
      </c>
      <c r="C34" s="4" t="s">
        <v>276</v>
      </c>
      <c r="D34" s="4" t="s">
        <v>269</v>
      </c>
      <c r="E34" s="4" t="s">
        <v>110</v>
      </c>
      <c r="F34" s="5">
        <v>30</v>
      </c>
      <c r="G34" s="5">
        <v>1200</v>
      </c>
    </row>
    <row r="35" spans="1:8" ht="17" hidden="1" x14ac:dyDescent="0.2">
      <c r="A35" t="s">
        <v>220</v>
      </c>
      <c r="B35" t="s">
        <v>126</v>
      </c>
      <c r="C35" s="4" t="s">
        <v>277</v>
      </c>
      <c r="D35" s="4" t="s">
        <v>270</v>
      </c>
      <c r="E35" s="4" t="s">
        <v>106</v>
      </c>
      <c r="F35" s="5">
        <v>30</v>
      </c>
      <c r="G35" s="5">
        <v>1460</v>
      </c>
    </row>
    <row r="36" spans="1:8" ht="17" hidden="1" x14ac:dyDescent="0.2">
      <c r="A36" t="s">
        <v>220</v>
      </c>
      <c r="B36" t="s">
        <v>127</v>
      </c>
      <c r="C36" s="4" t="s">
        <v>278</v>
      </c>
      <c r="D36" s="4" t="s">
        <v>271</v>
      </c>
      <c r="E36" s="4" t="s">
        <v>107</v>
      </c>
      <c r="F36" s="5">
        <v>30</v>
      </c>
      <c r="G36" s="5">
        <v>1460</v>
      </c>
    </row>
    <row r="37" spans="1:8" ht="17" hidden="1" x14ac:dyDescent="0.2">
      <c r="A37" t="s">
        <v>220</v>
      </c>
      <c r="B37" t="s">
        <v>128</v>
      </c>
      <c r="C37" s="4" t="s">
        <v>283</v>
      </c>
      <c r="D37" s="4" t="s">
        <v>282</v>
      </c>
      <c r="E37" s="4" t="s">
        <v>287</v>
      </c>
      <c r="F37" s="5">
        <v>30</v>
      </c>
      <c r="G37" s="5">
        <v>1460</v>
      </c>
    </row>
    <row r="38" spans="1:8" ht="17" hidden="1" x14ac:dyDescent="0.2">
      <c r="A38" t="s">
        <v>236</v>
      </c>
      <c r="B38" t="s">
        <v>29</v>
      </c>
      <c r="C38" s="4" t="s">
        <v>272</v>
      </c>
      <c r="D38" s="4" t="s">
        <v>262</v>
      </c>
      <c r="E38" s="4" t="s">
        <v>107</v>
      </c>
      <c r="F38" s="4">
        <v>210</v>
      </c>
      <c r="G38" s="4">
        <v>365</v>
      </c>
    </row>
    <row r="39" spans="1:8" ht="17" hidden="1" x14ac:dyDescent="0.2">
      <c r="A39" t="s">
        <v>236</v>
      </c>
      <c r="B39" t="s">
        <v>30</v>
      </c>
      <c r="C39" s="4" t="s">
        <v>273</v>
      </c>
      <c r="D39" s="4" t="s">
        <v>263</v>
      </c>
      <c r="E39" s="4" t="s">
        <v>110</v>
      </c>
      <c r="F39" s="4">
        <v>30</v>
      </c>
      <c r="G39" s="4">
        <v>120</v>
      </c>
    </row>
    <row r="40" spans="1:8" ht="17" hidden="1" x14ac:dyDescent="0.2">
      <c r="A40" t="s">
        <v>236</v>
      </c>
      <c r="B40" t="s">
        <v>30</v>
      </c>
      <c r="C40" s="4" t="s">
        <v>273</v>
      </c>
      <c r="D40" s="4" t="s">
        <v>263</v>
      </c>
      <c r="E40" s="4" t="s">
        <v>110</v>
      </c>
      <c r="F40" s="4">
        <v>150</v>
      </c>
      <c r="G40" s="4">
        <v>210</v>
      </c>
    </row>
    <row r="41" spans="1:8" ht="17" hidden="1" x14ac:dyDescent="0.2">
      <c r="A41" t="s">
        <v>236</v>
      </c>
      <c r="B41" t="s">
        <v>31</v>
      </c>
      <c r="C41" s="4" t="s">
        <v>284</v>
      </c>
      <c r="D41" s="4" t="s">
        <v>264</v>
      </c>
      <c r="E41" s="4" t="s">
        <v>107</v>
      </c>
      <c r="F41" s="4">
        <v>210</v>
      </c>
      <c r="G41" s="4">
        <v>330</v>
      </c>
    </row>
    <row r="42" spans="1:8" ht="17" hidden="1" x14ac:dyDescent="0.2">
      <c r="A42" t="s">
        <v>236</v>
      </c>
      <c r="B42" t="s">
        <v>32</v>
      </c>
      <c r="C42" s="4" t="s">
        <v>285</v>
      </c>
      <c r="D42" s="4" t="s">
        <v>265</v>
      </c>
      <c r="E42" s="4" t="s">
        <v>110</v>
      </c>
      <c r="F42" s="4">
        <v>0</v>
      </c>
      <c r="G42" s="4">
        <v>365</v>
      </c>
    </row>
    <row r="43" spans="1:8" ht="17" hidden="1" x14ac:dyDescent="0.2">
      <c r="A43" t="s">
        <v>236</v>
      </c>
      <c r="B43" t="s">
        <v>33</v>
      </c>
      <c r="C43" s="4" t="s">
        <v>279</v>
      </c>
      <c r="D43" s="4" t="s">
        <v>280</v>
      </c>
      <c r="E43" s="4" t="s">
        <v>102</v>
      </c>
      <c r="F43" s="4">
        <v>30</v>
      </c>
      <c r="G43" s="4">
        <v>120</v>
      </c>
    </row>
    <row r="44" spans="1:8" ht="17" hidden="1" x14ac:dyDescent="0.2">
      <c r="A44" t="s">
        <v>236</v>
      </c>
      <c r="B44" t="s">
        <v>33</v>
      </c>
      <c r="C44" s="4" t="s">
        <v>279</v>
      </c>
      <c r="D44" s="4" t="s">
        <v>280</v>
      </c>
      <c r="E44" s="4" t="s">
        <v>102</v>
      </c>
      <c r="F44" s="4">
        <v>180</v>
      </c>
      <c r="G44" s="4">
        <v>270</v>
      </c>
      <c r="H44" t="s">
        <v>281</v>
      </c>
    </row>
    <row r="45" spans="1:8" ht="17" hidden="1" x14ac:dyDescent="0.2">
      <c r="A45" t="s">
        <v>236</v>
      </c>
      <c r="B45" t="s">
        <v>53</v>
      </c>
      <c r="C45" s="4" t="s">
        <v>286</v>
      </c>
      <c r="D45" s="4" t="s">
        <v>266</v>
      </c>
      <c r="E45" s="4" t="s">
        <v>106</v>
      </c>
      <c r="F45" s="4">
        <v>0</v>
      </c>
      <c r="G45" s="4">
        <v>365</v>
      </c>
    </row>
    <row r="46" spans="1:8" ht="17" hidden="1" x14ac:dyDescent="0.2">
      <c r="A46" t="s">
        <v>236</v>
      </c>
      <c r="B46" t="s">
        <v>123</v>
      </c>
      <c r="C46" s="4" t="s">
        <v>274</v>
      </c>
      <c r="D46" s="4" t="s">
        <v>267</v>
      </c>
      <c r="E46" s="4" t="s">
        <v>106</v>
      </c>
      <c r="F46" s="4">
        <v>0</v>
      </c>
      <c r="G46" s="4">
        <v>365</v>
      </c>
    </row>
    <row r="47" spans="1:8" ht="17" hidden="1" x14ac:dyDescent="0.2">
      <c r="A47" t="s">
        <v>236</v>
      </c>
      <c r="B47" t="s">
        <v>124</v>
      </c>
      <c r="C47" s="4" t="s">
        <v>275</v>
      </c>
      <c r="D47" s="4" t="s">
        <v>268</v>
      </c>
      <c r="E47" s="4" t="s">
        <v>110</v>
      </c>
      <c r="F47" s="4">
        <v>0</v>
      </c>
      <c r="G47" s="4">
        <v>365</v>
      </c>
    </row>
    <row r="48" spans="1:8" ht="17" hidden="1" x14ac:dyDescent="0.2">
      <c r="A48" t="s">
        <v>236</v>
      </c>
      <c r="B48" t="s">
        <v>125</v>
      </c>
      <c r="C48" s="4" t="s">
        <v>276</v>
      </c>
      <c r="D48" s="4" t="s">
        <v>269</v>
      </c>
      <c r="E48" s="4" t="s">
        <v>110</v>
      </c>
      <c r="F48" s="4">
        <v>30</v>
      </c>
      <c r="G48" s="4">
        <v>180</v>
      </c>
    </row>
    <row r="49" spans="1:13" ht="17" hidden="1" x14ac:dyDescent="0.2">
      <c r="A49" t="s">
        <v>236</v>
      </c>
      <c r="B49" t="s">
        <v>126</v>
      </c>
      <c r="C49" s="4" t="s">
        <v>277</v>
      </c>
      <c r="D49" s="4" t="s">
        <v>270</v>
      </c>
      <c r="E49" s="4" t="s">
        <v>106</v>
      </c>
      <c r="F49" s="4">
        <v>30</v>
      </c>
      <c r="G49" s="4">
        <v>180</v>
      </c>
    </row>
    <row r="50" spans="1:13" ht="17" hidden="1" x14ac:dyDescent="0.2">
      <c r="A50" t="s">
        <v>236</v>
      </c>
      <c r="B50" t="s">
        <v>127</v>
      </c>
      <c r="C50" s="4" t="s">
        <v>278</v>
      </c>
      <c r="D50" s="4" t="s">
        <v>271</v>
      </c>
      <c r="E50" s="4" t="s">
        <v>107</v>
      </c>
      <c r="F50" s="4">
        <v>30</v>
      </c>
      <c r="G50" s="4">
        <v>180</v>
      </c>
    </row>
    <row r="51" spans="1:13" ht="17" hidden="1" x14ac:dyDescent="0.2">
      <c r="A51" t="s">
        <v>236</v>
      </c>
      <c r="B51" t="s">
        <v>127</v>
      </c>
      <c r="C51" s="4" t="s">
        <v>278</v>
      </c>
      <c r="D51" s="4" t="s">
        <v>271</v>
      </c>
      <c r="E51" s="4" t="s">
        <v>107</v>
      </c>
      <c r="F51" s="4">
        <v>200</v>
      </c>
      <c r="G51" s="4">
        <v>280</v>
      </c>
    </row>
    <row r="52" spans="1:13" ht="17" hidden="1" x14ac:dyDescent="0.2">
      <c r="A52" t="s">
        <v>236</v>
      </c>
      <c r="B52" t="s">
        <v>128</v>
      </c>
      <c r="C52" s="4" t="s">
        <v>283</v>
      </c>
      <c r="D52" s="4" t="s">
        <v>282</v>
      </c>
      <c r="E52" s="4" t="s">
        <v>287</v>
      </c>
      <c r="F52" s="4">
        <v>30</v>
      </c>
      <c r="G52" s="4">
        <v>180</v>
      </c>
    </row>
    <row r="54" spans="1:13" x14ac:dyDescent="0.2">
      <c r="L54" t="s">
        <v>318</v>
      </c>
      <c r="M54" t="s">
        <v>317</v>
      </c>
    </row>
    <row r="55" spans="1:13" x14ac:dyDescent="0.2">
      <c r="I55" t="s">
        <v>314</v>
      </c>
      <c r="J55">
        <v>25</v>
      </c>
      <c r="K55">
        <v>30</v>
      </c>
      <c r="L55" t="s">
        <v>315</v>
      </c>
      <c r="M55" t="s">
        <v>319</v>
      </c>
    </row>
    <row r="56" spans="1:13" x14ac:dyDescent="0.2">
      <c r="I56" t="s">
        <v>316</v>
      </c>
      <c r="J56">
        <v>45</v>
      </c>
      <c r="K56">
        <v>50</v>
      </c>
      <c r="M56" t="s">
        <v>320</v>
      </c>
    </row>
    <row r="57" spans="1:13" x14ac:dyDescent="0.2">
      <c r="I57" t="s">
        <v>321</v>
      </c>
      <c r="J57">
        <v>76</v>
      </c>
      <c r="K57">
        <v>85</v>
      </c>
      <c r="L57" t="s">
        <v>322</v>
      </c>
      <c r="M57" t="s">
        <v>320</v>
      </c>
    </row>
  </sheetData>
  <autoFilter ref="A1:H52" xr:uid="{CEC3F044-33F2-784E-B3A9-FCBE2CCC7A33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sheetPr filterMode="1"/>
  <dimension ref="A1:H10"/>
  <sheetViews>
    <sheetView zoomScale="130" zoomScaleNormal="130" workbookViewId="0">
      <selection activeCell="E19" sqref="E19"/>
    </sheetView>
  </sheetViews>
  <sheetFormatPr baseColWidth="10" defaultRowHeight="16" x14ac:dyDescent="0.2"/>
  <cols>
    <col min="3" max="3" width="23.6640625" customWidth="1"/>
    <col min="4" max="4" width="34.6640625" customWidth="1"/>
    <col min="5" max="5" width="65.33203125" bestFit="1" customWidth="1"/>
    <col min="6" max="6" width="12.83203125" customWidth="1"/>
    <col min="7" max="7" width="11.6640625" customWidth="1"/>
  </cols>
  <sheetData>
    <row r="1" spans="1:8" x14ac:dyDescent="0.2">
      <c r="A1" t="s">
        <v>0</v>
      </c>
      <c r="B1" t="s">
        <v>18</v>
      </c>
      <c r="C1" t="s">
        <v>19</v>
      </c>
      <c r="D1" t="s">
        <v>20</v>
      </c>
      <c r="E1" t="s">
        <v>156</v>
      </c>
      <c r="F1" t="s">
        <v>26</v>
      </c>
      <c r="G1" t="s">
        <v>4</v>
      </c>
      <c r="H1" t="s">
        <v>5</v>
      </c>
    </row>
    <row r="2" spans="1:8" x14ac:dyDescent="0.2">
      <c r="A2" t="s">
        <v>2</v>
      </c>
      <c r="B2" t="s">
        <v>21</v>
      </c>
      <c r="C2" t="s">
        <v>129</v>
      </c>
      <c r="D2" t="s">
        <v>54</v>
      </c>
      <c r="E2" t="s">
        <v>147</v>
      </c>
      <c r="F2" t="s">
        <v>27</v>
      </c>
      <c r="G2">
        <v>0</v>
      </c>
      <c r="H2">
        <v>120</v>
      </c>
    </row>
    <row r="3" spans="1:8" x14ac:dyDescent="0.2">
      <c r="A3" t="s">
        <v>2</v>
      </c>
      <c r="B3" t="s">
        <v>22</v>
      </c>
      <c r="C3" t="s">
        <v>130</v>
      </c>
      <c r="D3" t="s">
        <v>141</v>
      </c>
      <c r="E3" t="s">
        <v>148</v>
      </c>
      <c r="F3" t="s">
        <v>27</v>
      </c>
      <c r="G3">
        <v>60</v>
      </c>
      <c r="H3">
        <v>120</v>
      </c>
    </row>
    <row r="4" spans="1:8" x14ac:dyDescent="0.2">
      <c r="A4" t="s">
        <v>2</v>
      </c>
      <c r="B4" t="s">
        <v>23</v>
      </c>
      <c r="C4" t="s">
        <v>131</v>
      </c>
      <c r="D4" t="s">
        <v>142</v>
      </c>
      <c r="E4" t="s">
        <v>149</v>
      </c>
      <c r="F4" t="s">
        <v>27</v>
      </c>
      <c r="G4">
        <v>60</v>
      </c>
      <c r="H4">
        <v>120</v>
      </c>
    </row>
    <row r="5" spans="1:8" x14ac:dyDescent="0.2">
      <c r="A5" t="s">
        <v>2</v>
      </c>
      <c r="B5" t="s">
        <v>24</v>
      </c>
      <c r="C5" t="s">
        <v>132</v>
      </c>
      <c r="D5" t="s">
        <v>143</v>
      </c>
      <c r="E5" t="s">
        <v>150</v>
      </c>
      <c r="F5" t="s">
        <v>157</v>
      </c>
      <c r="G5">
        <v>90</v>
      </c>
      <c r="H5">
        <v>120</v>
      </c>
    </row>
    <row r="6" spans="1:8" x14ac:dyDescent="0.2">
      <c r="A6" t="s">
        <v>2</v>
      </c>
      <c r="B6" t="s">
        <v>25</v>
      </c>
      <c r="C6" t="s">
        <v>133</v>
      </c>
      <c r="D6" t="s">
        <v>55</v>
      </c>
      <c r="E6" t="s">
        <v>151</v>
      </c>
      <c r="F6" t="s">
        <v>27</v>
      </c>
      <c r="G6">
        <v>0</v>
      </c>
      <c r="H6">
        <v>120</v>
      </c>
    </row>
    <row r="7" spans="1:8" x14ac:dyDescent="0.2">
      <c r="A7" t="s">
        <v>2</v>
      </c>
      <c r="B7" t="s">
        <v>57</v>
      </c>
      <c r="C7" t="s">
        <v>134</v>
      </c>
      <c r="D7" t="s">
        <v>144</v>
      </c>
      <c r="E7" t="s">
        <v>152</v>
      </c>
      <c r="F7" t="s">
        <v>27</v>
      </c>
      <c r="G7">
        <v>0</v>
      </c>
      <c r="H7">
        <v>120</v>
      </c>
    </row>
    <row r="8" spans="1:8" x14ac:dyDescent="0.2">
      <c r="A8" t="s">
        <v>2</v>
      </c>
      <c r="B8" t="s">
        <v>138</v>
      </c>
      <c r="C8" t="s">
        <v>135</v>
      </c>
      <c r="D8" t="s">
        <v>145</v>
      </c>
      <c r="E8" t="s">
        <v>153</v>
      </c>
      <c r="F8" t="s">
        <v>27</v>
      </c>
      <c r="G8">
        <v>30</v>
      </c>
      <c r="H8">
        <v>120</v>
      </c>
    </row>
    <row r="9" spans="1:8" x14ac:dyDescent="0.2">
      <c r="A9" t="s">
        <v>2</v>
      </c>
      <c r="B9" t="s">
        <v>139</v>
      </c>
      <c r="C9" t="s">
        <v>136</v>
      </c>
      <c r="D9" t="s">
        <v>56</v>
      </c>
      <c r="E9" t="s">
        <v>154</v>
      </c>
      <c r="F9" t="s">
        <v>158</v>
      </c>
      <c r="G9">
        <v>0</v>
      </c>
      <c r="H9">
        <v>120</v>
      </c>
    </row>
    <row r="10" spans="1:8" x14ac:dyDescent="0.2">
      <c r="A10" t="s">
        <v>2</v>
      </c>
      <c r="B10" t="s">
        <v>140</v>
      </c>
      <c r="C10" t="s">
        <v>137</v>
      </c>
      <c r="D10" t="s">
        <v>146</v>
      </c>
      <c r="E10" t="s">
        <v>155</v>
      </c>
      <c r="F10" t="s">
        <v>158</v>
      </c>
      <c r="G10">
        <v>30</v>
      </c>
      <c r="H10">
        <v>120</v>
      </c>
    </row>
  </sheetData>
  <autoFilter ref="A1:H19" xr:uid="{DF719425-7F62-384F-AD7F-68B32E0A090F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sheetPr filterMode="1"/>
  <dimension ref="A1:G85"/>
  <sheetViews>
    <sheetView zoomScale="130" zoomScaleNormal="130" workbookViewId="0">
      <selection activeCell="B28" sqref="B28:B48"/>
    </sheetView>
  </sheetViews>
  <sheetFormatPr baseColWidth="10" defaultRowHeight="16" x14ac:dyDescent="0.2"/>
  <cols>
    <col min="1" max="1" width="12.33203125" customWidth="1"/>
    <col min="2" max="2" width="16.83203125" customWidth="1"/>
    <col min="3" max="3" width="13.1640625" customWidth="1"/>
    <col min="4" max="5" width="20.6640625" customWidth="1"/>
    <col min="6" max="6" width="18.33203125" customWidth="1"/>
  </cols>
  <sheetData>
    <row r="1" spans="1:7" x14ac:dyDescent="0.2">
      <c r="A1" t="s">
        <v>0</v>
      </c>
      <c r="B1" t="s">
        <v>333</v>
      </c>
      <c r="C1" t="s">
        <v>9</v>
      </c>
      <c r="D1" t="s">
        <v>10</v>
      </c>
      <c r="E1" t="s">
        <v>11</v>
      </c>
      <c r="F1" t="s">
        <v>28</v>
      </c>
      <c r="G1" t="s">
        <v>214</v>
      </c>
    </row>
    <row r="2" spans="1:7" hidden="1" x14ac:dyDescent="0.2">
      <c r="A2" t="s">
        <v>2</v>
      </c>
      <c r="B2" t="s">
        <v>330</v>
      </c>
      <c r="C2" t="s">
        <v>12</v>
      </c>
      <c r="D2" t="s">
        <v>76</v>
      </c>
      <c r="E2" t="s">
        <v>58</v>
      </c>
      <c r="F2" s="2" t="s">
        <v>335</v>
      </c>
      <c r="G2" s="3" t="s">
        <v>344</v>
      </c>
    </row>
    <row r="3" spans="1:7" hidden="1" x14ac:dyDescent="0.2">
      <c r="A3" t="s">
        <v>2</v>
      </c>
      <c r="B3" t="s">
        <v>330</v>
      </c>
      <c r="C3" t="s">
        <v>13</v>
      </c>
      <c r="D3" t="s">
        <v>62</v>
      </c>
      <c r="E3" t="s">
        <v>60</v>
      </c>
      <c r="F3" s="2" t="s">
        <v>335</v>
      </c>
      <c r="G3" s="3" t="s">
        <v>344</v>
      </c>
    </row>
    <row r="4" spans="1:7" hidden="1" x14ac:dyDescent="0.2">
      <c r="A4" t="s">
        <v>2</v>
      </c>
      <c r="B4" t="s">
        <v>330</v>
      </c>
      <c r="C4" t="s">
        <v>12</v>
      </c>
      <c r="D4" t="s">
        <v>76</v>
      </c>
      <c r="E4" t="s">
        <v>58</v>
      </c>
      <c r="F4" s="2" t="s">
        <v>334</v>
      </c>
      <c r="G4" s="3" t="s">
        <v>344</v>
      </c>
    </row>
    <row r="5" spans="1:7" ht="14" hidden="1" customHeight="1" x14ac:dyDescent="0.2">
      <c r="A5" t="s">
        <v>2</v>
      </c>
      <c r="B5" t="s">
        <v>330</v>
      </c>
      <c r="C5" t="s">
        <v>13</v>
      </c>
      <c r="D5" t="s">
        <v>62</v>
      </c>
      <c r="E5" t="s">
        <v>60</v>
      </c>
      <c r="F5" s="2" t="s">
        <v>334</v>
      </c>
      <c r="G5" s="3" t="s">
        <v>344</v>
      </c>
    </row>
    <row r="6" spans="1:7" ht="14" hidden="1" customHeight="1" x14ac:dyDescent="0.2">
      <c r="A6" t="s">
        <v>2</v>
      </c>
      <c r="B6" t="s">
        <v>330</v>
      </c>
      <c r="C6" t="s">
        <v>12</v>
      </c>
      <c r="D6" t="s">
        <v>76</v>
      </c>
      <c r="E6" t="s">
        <v>58</v>
      </c>
      <c r="F6" s="2" t="s">
        <v>348</v>
      </c>
      <c r="G6" s="3" t="s">
        <v>344</v>
      </c>
    </row>
    <row r="7" spans="1:7" ht="14" hidden="1" customHeight="1" x14ac:dyDescent="0.2">
      <c r="A7" t="s">
        <v>2</v>
      </c>
      <c r="B7" t="s">
        <v>330</v>
      </c>
      <c r="C7" t="s">
        <v>13</v>
      </c>
      <c r="D7" t="s">
        <v>62</v>
      </c>
      <c r="E7" t="s">
        <v>60</v>
      </c>
      <c r="F7" s="2" t="s">
        <v>348</v>
      </c>
      <c r="G7" s="3" t="s">
        <v>344</v>
      </c>
    </row>
    <row r="8" spans="1:7" ht="14" customHeight="1" x14ac:dyDescent="0.2">
      <c r="A8" t="s">
        <v>2</v>
      </c>
      <c r="B8" t="s">
        <v>330</v>
      </c>
      <c r="C8" t="s">
        <v>90</v>
      </c>
      <c r="D8" t="s">
        <v>100</v>
      </c>
      <c r="E8" t="s">
        <v>99</v>
      </c>
      <c r="F8" s="2" t="s">
        <v>348</v>
      </c>
      <c r="G8" s="3" t="s">
        <v>344</v>
      </c>
    </row>
    <row r="9" spans="1:7" hidden="1" x14ac:dyDescent="0.2">
      <c r="A9" t="s">
        <v>2</v>
      </c>
      <c r="B9" t="s">
        <v>331</v>
      </c>
      <c r="C9" t="s">
        <v>12</v>
      </c>
      <c r="D9" t="s">
        <v>76</v>
      </c>
      <c r="E9" t="s">
        <v>58</v>
      </c>
      <c r="F9" s="2" t="s">
        <v>336</v>
      </c>
      <c r="G9" s="3" t="s">
        <v>343</v>
      </c>
    </row>
    <row r="10" spans="1:7" hidden="1" x14ac:dyDescent="0.2">
      <c r="A10" t="s">
        <v>2</v>
      </c>
      <c r="B10" t="s">
        <v>331</v>
      </c>
      <c r="C10" t="s">
        <v>14</v>
      </c>
      <c r="D10" t="s">
        <v>67</v>
      </c>
      <c r="E10" t="s">
        <v>65</v>
      </c>
      <c r="F10" s="2" t="s">
        <v>336</v>
      </c>
      <c r="G10" s="3" t="s">
        <v>343</v>
      </c>
    </row>
    <row r="11" spans="1:7" hidden="1" x14ac:dyDescent="0.2">
      <c r="A11" t="s">
        <v>2</v>
      </c>
      <c r="B11" t="s">
        <v>331</v>
      </c>
      <c r="C11" t="s">
        <v>15</v>
      </c>
      <c r="D11" t="s">
        <v>68</v>
      </c>
      <c r="E11" t="s">
        <v>69</v>
      </c>
      <c r="F11" s="2" t="s">
        <v>336</v>
      </c>
      <c r="G11" s="3" t="s">
        <v>343</v>
      </c>
    </row>
    <row r="12" spans="1:7" hidden="1" x14ac:dyDescent="0.2">
      <c r="A12" t="s">
        <v>2</v>
      </c>
      <c r="B12" t="s">
        <v>331</v>
      </c>
      <c r="C12" t="s">
        <v>16</v>
      </c>
      <c r="D12" t="s">
        <v>75</v>
      </c>
      <c r="E12" t="s">
        <v>71</v>
      </c>
      <c r="F12" s="2" t="s">
        <v>336</v>
      </c>
      <c r="G12" s="3" t="s">
        <v>343</v>
      </c>
    </row>
    <row r="13" spans="1:7" hidden="1" x14ac:dyDescent="0.2">
      <c r="A13" t="s">
        <v>2</v>
      </c>
      <c r="B13" t="s">
        <v>331</v>
      </c>
      <c r="C13" t="s">
        <v>74</v>
      </c>
      <c r="D13" t="s">
        <v>87</v>
      </c>
      <c r="E13" t="s">
        <v>78</v>
      </c>
      <c r="F13" s="2" t="s">
        <v>336</v>
      </c>
      <c r="G13" s="3" t="s">
        <v>343</v>
      </c>
    </row>
    <row r="14" spans="1:7" hidden="1" x14ac:dyDescent="0.2">
      <c r="A14" t="s">
        <v>2</v>
      </c>
      <c r="B14" t="s">
        <v>331</v>
      </c>
      <c r="C14" t="s">
        <v>79</v>
      </c>
      <c r="D14" t="s">
        <v>80</v>
      </c>
      <c r="E14" t="s">
        <v>83</v>
      </c>
      <c r="F14" s="2" t="s">
        <v>336</v>
      </c>
      <c r="G14" s="3" t="s">
        <v>343</v>
      </c>
    </row>
    <row r="15" spans="1:7" hidden="1" x14ac:dyDescent="0.2">
      <c r="A15" t="s">
        <v>2</v>
      </c>
      <c r="B15" t="s">
        <v>331</v>
      </c>
      <c r="C15" t="s">
        <v>81</v>
      </c>
      <c r="D15" t="s">
        <v>88</v>
      </c>
      <c r="E15" t="s">
        <v>17</v>
      </c>
      <c r="F15" s="2" t="s">
        <v>336</v>
      </c>
      <c r="G15" s="3" t="s">
        <v>343</v>
      </c>
    </row>
    <row r="16" spans="1:7" hidden="1" x14ac:dyDescent="0.2">
      <c r="A16" t="s">
        <v>2</v>
      </c>
      <c r="B16" t="s">
        <v>331</v>
      </c>
      <c r="C16" t="s">
        <v>86</v>
      </c>
      <c r="D16" t="s">
        <v>84</v>
      </c>
      <c r="E16" t="s">
        <v>91</v>
      </c>
      <c r="F16" s="2" t="s">
        <v>336</v>
      </c>
      <c r="G16" s="3" t="s">
        <v>343</v>
      </c>
    </row>
    <row r="17" spans="1:7" hidden="1" x14ac:dyDescent="0.2">
      <c r="A17" t="s">
        <v>2</v>
      </c>
      <c r="B17" t="s">
        <v>331</v>
      </c>
      <c r="C17" t="s">
        <v>89</v>
      </c>
      <c r="D17" t="s">
        <v>95</v>
      </c>
      <c r="E17" t="s">
        <v>94</v>
      </c>
      <c r="F17" s="2" t="s">
        <v>336</v>
      </c>
      <c r="G17" s="3" t="s">
        <v>343</v>
      </c>
    </row>
    <row r="18" spans="1:7" x14ac:dyDescent="0.2">
      <c r="A18" t="s">
        <v>2</v>
      </c>
      <c r="B18" t="s">
        <v>331</v>
      </c>
      <c r="C18" t="s">
        <v>90</v>
      </c>
      <c r="D18" t="s">
        <v>100</v>
      </c>
      <c r="E18" t="s">
        <v>99</v>
      </c>
      <c r="F18" s="2" t="s">
        <v>336</v>
      </c>
      <c r="G18" s="3" t="s">
        <v>343</v>
      </c>
    </row>
    <row r="19" spans="1:7" hidden="1" x14ac:dyDescent="0.2">
      <c r="A19" t="s">
        <v>2</v>
      </c>
      <c r="B19" t="s">
        <v>331</v>
      </c>
      <c r="C19" t="s">
        <v>12</v>
      </c>
      <c r="D19" t="s">
        <v>76</v>
      </c>
      <c r="E19" t="s">
        <v>58</v>
      </c>
      <c r="F19" s="2" t="s">
        <v>337</v>
      </c>
      <c r="G19" s="3" t="s">
        <v>342</v>
      </c>
    </row>
    <row r="20" spans="1:7" hidden="1" x14ac:dyDescent="0.2">
      <c r="A20" t="s">
        <v>2</v>
      </c>
      <c r="B20" t="s">
        <v>331</v>
      </c>
      <c r="C20" t="s">
        <v>14</v>
      </c>
      <c r="D20" t="s">
        <v>67</v>
      </c>
      <c r="E20" t="s">
        <v>65</v>
      </c>
      <c r="F20" s="2" t="s">
        <v>337</v>
      </c>
      <c r="G20" s="3" t="s">
        <v>342</v>
      </c>
    </row>
    <row r="21" spans="1:7" hidden="1" x14ac:dyDescent="0.2">
      <c r="A21" t="s">
        <v>2</v>
      </c>
      <c r="B21" t="s">
        <v>331</v>
      </c>
      <c r="C21" t="s">
        <v>15</v>
      </c>
      <c r="D21" t="s">
        <v>68</v>
      </c>
      <c r="E21" t="s">
        <v>69</v>
      </c>
      <c r="F21" s="2" t="s">
        <v>337</v>
      </c>
      <c r="G21" s="3" t="s">
        <v>342</v>
      </c>
    </row>
    <row r="22" spans="1:7" hidden="1" x14ac:dyDescent="0.2">
      <c r="A22" t="s">
        <v>2</v>
      </c>
      <c r="B22" t="s">
        <v>331</v>
      </c>
      <c r="C22" t="s">
        <v>16</v>
      </c>
      <c r="D22" t="s">
        <v>75</v>
      </c>
      <c r="E22" t="s">
        <v>71</v>
      </c>
      <c r="F22" s="2" t="s">
        <v>337</v>
      </c>
      <c r="G22" s="3" t="s">
        <v>342</v>
      </c>
    </row>
    <row r="23" spans="1:7" hidden="1" x14ac:dyDescent="0.2">
      <c r="A23" t="s">
        <v>2</v>
      </c>
      <c r="B23" t="s">
        <v>331</v>
      </c>
      <c r="C23" t="s">
        <v>74</v>
      </c>
      <c r="D23" t="s">
        <v>87</v>
      </c>
      <c r="E23" t="s">
        <v>78</v>
      </c>
      <c r="F23" s="2" t="s">
        <v>337</v>
      </c>
      <c r="G23" s="3" t="s">
        <v>342</v>
      </c>
    </row>
    <row r="24" spans="1:7" hidden="1" x14ac:dyDescent="0.2">
      <c r="A24" t="s">
        <v>2</v>
      </c>
      <c r="B24" t="s">
        <v>331</v>
      </c>
      <c r="C24" t="s">
        <v>79</v>
      </c>
      <c r="D24" t="s">
        <v>80</v>
      </c>
      <c r="E24" t="s">
        <v>83</v>
      </c>
      <c r="F24" s="2" t="s">
        <v>337</v>
      </c>
      <c r="G24" s="3" t="s">
        <v>342</v>
      </c>
    </row>
    <row r="25" spans="1:7" hidden="1" x14ac:dyDescent="0.2">
      <c r="A25" t="s">
        <v>2</v>
      </c>
      <c r="B25" t="s">
        <v>331</v>
      </c>
      <c r="C25" t="s">
        <v>81</v>
      </c>
      <c r="D25" t="s">
        <v>88</v>
      </c>
      <c r="E25" t="s">
        <v>17</v>
      </c>
      <c r="F25" s="2" t="s">
        <v>337</v>
      </c>
      <c r="G25" s="3" t="s">
        <v>342</v>
      </c>
    </row>
    <row r="26" spans="1:7" hidden="1" x14ac:dyDescent="0.2">
      <c r="A26" t="s">
        <v>2</v>
      </c>
      <c r="B26" t="s">
        <v>331</v>
      </c>
      <c r="C26" t="s">
        <v>86</v>
      </c>
      <c r="D26" t="s">
        <v>84</v>
      </c>
      <c r="E26" t="s">
        <v>91</v>
      </c>
      <c r="F26" s="2" t="s">
        <v>337</v>
      </c>
      <c r="G26" s="3" t="s">
        <v>342</v>
      </c>
    </row>
    <row r="27" spans="1:7" hidden="1" x14ac:dyDescent="0.2">
      <c r="A27" t="s">
        <v>2</v>
      </c>
      <c r="B27" t="s">
        <v>331</v>
      </c>
      <c r="C27" t="s">
        <v>89</v>
      </c>
      <c r="D27" t="s">
        <v>95</v>
      </c>
      <c r="E27" t="s">
        <v>94</v>
      </c>
      <c r="F27" s="2" t="s">
        <v>337</v>
      </c>
      <c r="G27" s="3" t="s">
        <v>342</v>
      </c>
    </row>
    <row r="28" spans="1:7" x14ac:dyDescent="0.2">
      <c r="A28" t="s">
        <v>2</v>
      </c>
      <c r="B28" t="s">
        <v>331</v>
      </c>
      <c r="C28" t="s">
        <v>90</v>
      </c>
      <c r="D28" t="s">
        <v>100</v>
      </c>
      <c r="E28" t="s">
        <v>99</v>
      </c>
      <c r="F28" s="2" t="s">
        <v>337</v>
      </c>
      <c r="G28" s="3" t="s">
        <v>342</v>
      </c>
    </row>
    <row r="29" spans="1:7" hidden="1" x14ac:dyDescent="0.2">
      <c r="A29" t="s">
        <v>2</v>
      </c>
      <c r="B29" t="s">
        <v>331</v>
      </c>
      <c r="C29" t="s">
        <v>12</v>
      </c>
      <c r="D29" t="s">
        <v>76</v>
      </c>
      <c r="E29" t="s">
        <v>58</v>
      </c>
      <c r="F29" s="2" t="s">
        <v>338</v>
      </c>
      <c r="G29" s="3" t="s">
        <v>339</v>
      </c>
    </row>
    <row r="30" spans="1:7" hidden="1" x14ac:dyDescent="0.2">
      <c r="A30" t="s">
        <v>2</v>
      </c>
      <c r="B30" t="s">
        <v>331</v>
      </c>
      <c r="C30" t="s">
        <v>14</v>
      </c>
      <c r="D30" t="s">
        <v>67</v>
      </c>
      <c r="E30" t="s">
        <v>65</v>
      </c>
      <c r="F30" s="2" t="s">
        <v>338</v>
      </c>
      <c r="G30" s="3" t="s">
        <v>339</v>
      </c>
    </row>
    <row r="31" spans="1:7" hidden="1" x14ac:dyDescent="0.2">
      <c r="A31" t="s">
        <v>2</v>
      </c>
      <c r="B31" t="s">
        <v>331</v>
      </c>
      <c r="C31" t="s">
        <v>15</v>
      </c>
      <c r="D31" t="s">
        <v>68</v>
      </c>
      <c r="E31" t="s">
        <v>69</v>
      </c>
      <c r="F31" s="2" t="s">
        <v>338</v>
      </c>
      <c r="G31" s="3" t="s">
        <v>339</v>
      </c>
    </row>
    <row r="32" spans="1:7" hidden="1" x14ac:dyDescent="0.2">
      <c r="A32" t="s">
        <v>2</v>
      </c>
      <c r="B32" t="s">
        <v>331</v>
      </c>
      <c r="C32" t="s">
        <v>16</v>
      </c>
      <c r="D32" t="s">
        <v>75</v>
      </c>
      <c r="E32" t="s">
        <v>71</v>
      </c>
      <c r="F32" s="2" t="s">
        <v>338</v>
      </c>
      <c r="G32" s="3" t="s">
        <v>339</v>
      </c>
    </row>
    <row r="33" spans="1:7" hidden="1" x14ac:dyDescent="0.2">
      <c r="A33" t="s">
        <v>2</v>
      </c>
      <c r="B33" t="s">
        <v>331</v>
      </c>
      <c r="C33" t="s">
        <v>74</v>
      </c>
      <c r="D33" t="s">
        <v>87</v>
      </c>
      <c r="E33" t="s">
        <v>78</v>
      </c>
      <c r="F33" s="2" t="s">
        <v>338</v>
      </c>
      <c r="G33" s="3" t="s">
        <v>339</v>
      </c>
    </row>
    <row r="34" spans="1:7" hidden="1" x14ac:dyDescent="0.2">
      <c r="A34" t="s">
        <v>2</v>
      </c>
      <c r="B34" t="s">
        <v>331</v>
      </c>
      <c r="C34" t="s">
        <v>79</v>
      </c>
      <c r="D34" t="s">
        <v>80</v>
      </c>
      <c r="E34" t="s">
        <v>83</v>
      </c>
      <c r="F34" s="2" t="s">
        <v>338</v>
      </c>
      <c r="G34" s="3" t="s">
        <v>339</v>
      </c>
    </row>
    <row r="35" spans="1:7" hidden="1" x14ac:dyDescent="0.2">
      <c r="A35" t="s">
        <v>2</v>
      </c>
      <c r="B35" t="s">
        <v>331</v>
      </c>
      <c r="C35" t="s">
        <v>81</v>
      </c>
      <c r="D35" t="s">
        <v>88</v>
      </c>
      <c r="E35" t="s">
        <v>17</v>
      </c>
      <c r="F35" s="2" t="s">
        <v>338</v>
      </c>
      <c r="G35" s="3" t="s">
        <v>339</v>
      </c>
    </row>
    <row r="36" spans="1:7" hidden="1" x14ac:dyDescent="0.2">
      <c r="A36" t="s">
        <v>2</v>
      </c>
      <c r="B36" t="s">
        <v>331</v>
      </c>
      <c r="C36" t="s">
        <v>86</v>
      </c>
      <c r="D36" t="s">
        <v>84</v>
      </c>
      <c r="E36" t="s">
        <v>91</v>
      </c>
      <c r="F36" s="2" t="s">
        <v>338</v>
      </c>
      <c r="G36" s="3" t="s">
        <v>339</v>
      </c>
    </row>
    <row r="37" spans="1:7" hidden="1" x14ac:dyDescent="0.2">
      <c r="A37" t="s">
        <v>2</v>
      </c>
      <c r="B37" t="s">
        <v>331</v>
      </c>
      <c r="C37" t="s">
        <v>89</v>
      </c>
      <c r="D37" t="s">
        <v>95</v>
      </c>
      <c r="E37" t="s">
        <v>94</v>
      </c>
      <c r="F37" s="2" t="s">
        <v>338</v>
      </c>
      <c r="G37" s="3" t="s">
        <v>339</v>
      </c>
    </row>
    <row r="38" spans="1:7" x14ac:dyDescent="0.2">
      <c r="A38" t="s">
        <v>2</v>
      </c>
      <c r="B38" t="s">
        <v>331</v>
      </c>
      <c r="C38" t="s">
        <v>90</v>
      </c>
      <c r="D38" t="s">
        <v>100</v>
      </c>
      <c r="E38" t="s">
        <v>99</v>
      </c>
      <c r="F38" s="2" t="s">
        <v>338</v>
      </c>
      <c r="G38" s="3" t="s">
        <v>339</v>
      </c>
    </row>
    <row r="39" spans="1:7" hidden="1" x14ac:dyDescent="0.2">
      <c r="A39" t="s">
        <v>2</v>
      </c>
      <c r="B39" t="s">
        <v>331</v>
      </c>
      <c r="C39" t="s">
        <v>12</v>
      </c>
      <c r="D39" t="s">
        <v>76</v>
      </c>
      <c r="E39" t="s">
        <v>58</v>
      </c>
      <c r="F39" s="2" t="s">
        <v>340</v>
      </c>
      <c r="G39" s="8" t="s">
        <v>341</v>
      </c>
    </row>
    <row r="40" spans="1:7" hidden="1" x14ac:dyDescent="0.2">
      <c r="A40" t="s">
        <v>2</v>
      </c>
      <c r="B40" t="s">
        <v>331</v>
      </c>
      <c r="C40" t="s">
        <v>14</v>
      </c>
      <c r="D40" t="s">
        <v>67</v>
      </c>
      <c r="E40" t="s">
        <v>65</v>
      </c>
      <c r="F40" s="2" t="s">
        <v>340</v>
      </c>
      <c r="G40" s="8" t="s">
        <v>341</v>
      </c>
    </row>
    <row r="41" spans="1:7" hidden="1" x14ac:dyDescent="0.2">
      <c r="A41" t="s">
        <v>2</v>
      </c>
      <c r="B41" t="s">
        <v>331</v>
      </c>
      <c r="C41" t="s">
        <v>15</v>
      </c>
      <c r="D41" t="s">
        <v>68</v>
      </c>
      <c r="E41" t="s">
        <v>69</v>
      </c>
      <c r="F41" s="2" t="s">
        <v>340</v>
      </c>
      <c r="G41" s="8" t="s">
        <v>341</v>
      </c>
    </row>
    <row r="42" spans="1:7" hidden="1" x14ac:dyDescent="0.2">
      <c r="A42" t="s">
        <v>2</v>
      </c>
      <c r="B42" t="s">
        <v>331</v>
      </c>
      <c r="C42" t="s">
        <v>16</v>
      </c>
      <c r="D42" t="s">
        <v>75</v>
      </c>
      <c r="E42" t="s">
        <v>71</v>
      </c>
      <c r="F42" s="2" t="s">
        <v>340</v>
      </c>
      <c r="G42" s="8" t="s">
        <v>341</v>
      </c>
    </row>
    <row r="43" spans="1:7" hidden="1" x14ac:dyDescent="0.2">
      <c r="A43" t="s">
        <v>2</v>
      </c>
      <c r="B43" t="s">
        <v>331</v>
      </c>
      <c r="C43" t="s">
        <v>74</v>
      </c>
      <c r="D43" t="s">
        <v>87</v>
      </c>
      <c r="E43" t="s">
        <v>78</v>
      </c>
      <c r="F43" s="2" t="s">
        <v>340</v>
      </c>
      <c r="G43" s="8" t="s">
        <v>341</v>
      </c>
    </row>
    <row r="44" spans="1:7" hidden="1" x14ac:dyDescent="0.2">
      <c r="A44" t="s">
        <v>2</v>
      </c>
      <c r="B44" t="s">
        <v>331</v>
      </c>
      <c r="C44" t="s">
        <v>79</v>
      </c>
      <c r="D44" t="s">
        <v>80</v>
      </c>
      <c r="E44" t="s">
        <v>83</v>
      </c>
      <c r="F44" s="2" t="s">
        <v>340</v>
      </c>
      <c r="G44" s="8" t="s">
        <v>341</v>
      </c>
    </row>
    <row r="45" spans="1:7" hidden="1" x14ac:dyDescent="0.2">
      <c r="A45" t="s">
        <v>2</v>
      </c>
      <c r="B45" t="s">
        <v>331</v>
      </c>
      <c r="C45" t="s">
        <v>81</v>
      </c>
      <c r="D45" t="s">
        <v>88</v>
      </c>
      <c r="E45" t="s">
        <v>17</v>
      </c>
      <c r="F45" s="2" t="s">
        <v>340</v>
      </c>
      <c r="G45" s="8" t="s">
        <v>341</v>
      </c>
    </row>
    <row r="46" spans="1:7" hidden="1" x14ac:dyDescent="0.2">
      <c r="A46" t="s">
        <v>2</v>
      </c>
      <c r="B46" t="s">
        <v>331</v>
      </c>
      <c r="C46" t="s">
        <v>86</v>
      </c>
      <c r="D46" t="s">
        <v>84</v>
      </c>
      <c r="E46" t="s">
        <v>91</v>
      </c>
      <c r="F46" s="2" t="s">
        <v>340</v>
      </c>
      <c r="G46" s="8" t="s">
        <v>341</v>
      </c>
    </row>
    <row r="47" spans="1:7" hidden="1" x14ac:dyDescent="0.2">
      <c r="A47" t="s">
        <v>2</v>
      </c>
      <c r="B47" t="s">
        <v>331</v>
      </c>
      <c r="C47" t="s">
        <v>89</v>
      </c>
      <c r="D47" t="s">
        <v>95</v>
      </c>
      <c r="E47" t="s">
        <v>94</v>
      </c>
      <c r="F47" s="2" t="s">
        <v>340</v>
      </c>
      <c r="G47" s="8" t="s">
        <v>341</v>
      </c>
    </row>
    <row r="48" spans="1:7" x14ac:dyDescent="0.2">
      <c r="A48" t="s">
        <v>2</v>
      </c>
      <c r="B48" t="s">
        <v>331</v>
      </c>
      <c r="C48" t="s">
        <v>90</v>
      </c>
      <c r="D48" t="s">
        <v>100</v>
      </c>
      <c r="E48" t="s">
        <v>99</v>
      </c>
      <c r="F48" s="2" t="s">
        <v>340</v>
      </c>
      <c r="G48" s="8" t="s">
        <v>341</v>
      </c>
    </row>
    <row r="49" spans="1:7" x14ac:dyDescent="0.2">
      <c r="A49" t="s">
        <v>2</v>
      </c>
      <c r="B49" t="s">
        <v>332</v>
      </c>
      <c r="C49" t="s">
        <v>90</v>
      </c>
      <c r="D49" t="s">
        <v>100</v>
      </c>
      <c r="E49" t="s">
        <v>99</v>
      </c>
      <c r="F49" s="2" t="s">
        <v>340</v>
      </c>
      <c r="G49" s="8" t="s">
        <v>341</v>
      </c>
    </row>
    <row r="50" spans="1:7" hidden="1" x14ac:dyDescent="0.2">
      <c r="A50" t="s">
        <v>2</v>
      </c>
      <c r="B50" t="s">
        <v>331</v>
      </c>
      <c r="C50" t="s">
        <v>12</v>
      </c>
      <c r="D50" t="s">
        <v>76</v>
      </c>
      <c r="E50" t="s">
        <v>58</v>
      </c>
      <c r="F50" s="2" t="s">
        <v>345</v>
      </c>
      <c r="G50" s="8" t="s">
        <v>341</v>
      </c>
    </row>
    <row r="51" spans="1:7" hidden="1" x14ac:dyDescent="0.2">
      <c r="A51" t="s">
        <v>2</v>
      </c>
      <c r="B51" t="s">
        <v>331</v>
      </c>
      <c r="C51" t="s">
        <v>14</v>
      </c>
      <c r="D51" t="s">
        <v>67</v>
      </c>
      <c r="E51" t="s">
        <v>65</v>
      </c>
      <c r="F51" s="2" t="s">
        <v>345</v>
      </c>
      <c r="G51" s="8" t="s">
        <v>341</v>
      </c>
    </row>
    <row r="52" spans="1:7" hidden="1" x14ac:dyDescent="0.2">
      <c r="A52" t="s">
        <v>2</v>
      </c>
      <c r="B52" t="s">
        <v>331</v>
      </c>
      <c r="C52" t="s">
        <v>15</v>
      </c>
      <c r="D52" t="s">
        <v>68</v>
      </c>
      <c r="E52" t="s">
        <v>69</v>
      </c>
      <c r="F52" s="2" t="s">
        <v>345</v>
      </c>
      <c r="G52" s="8" t="s">
        <v>341</v>
      </c>
    </row>
    <row r="53" spans="1:7" hidden="1" x14ac:dyDescent="0.2">
      <c r="A53" t="s">
        <v>2</v>
      </c>
      <c r="B53" t="s">
        <v>331</v>
      </c>
      <c r="C53" t="s">
        <v>16</v>
      </c>
      <c r="D53" t="s">
        <v>75</v>
      </c>
      <c r="E53" t="s">
        <v>71</v>
      </c>
      <c r="F53" s="2" t="s">
        <v>345</v>
      </c>
      <c r="G53" s="8" t="s">
        <v>341</v>
      </c>
    </row>
    <row r="54" spans="1:7" hidden="1" x14ac:dyDescent="0.2">
      <c r="A54" t="s">
        <v>2</v>
      </c>
      <c r="B54" t="s">
        <v>331</v>
      </c>
      <c r="C54" t="s">
        <v>74</v>
      </c>
      <c r="D54" t="s">
        <v>87</v>
      </c>
      <c r="E54" t="s">
        <v>78</v>
      </c>
      <c r="F54" s="2" t="s">
        <v>345</v>
      </c>
      <c r="G54" s="8" t="s">
        <v>341</v>
      </c>
    </row>
    <row r="55" spans="1:7" hidden="1" x14ac:dyDescent="0.2">
      <c r="A55" t="s">
        <v>2</v>
      </c>
      <c r="B55" t="s">
        <v>331</v>
      </c>
      <c r="C55" t="s">
        <v>79</v>
      </c>
      <c r="D55" t="s">
        <v>80</v>
      </c>
      <c r="E55" t="s">
        <v>83</v>
      </c>
      <c r="F55" s="2" t="s">
        <v>345</v>
      </c>
      <c r="G55" s="8" t="s">
        <v>341</v>
      </c>
    </row>
    <row r="56" spans="1:7" hidden="1" x14ac:dyDescent="0.2">
      <c r="A56" t="s">
        <v>2</v>
      </c>
      <c r="B56" t="s">
        <v>331</v>
      </c>
      <c r="C56" t="s">
        <v>81</v>
      </c>
      <c r="D56" t="s">
        <v>88</v>
      </c>
      <c r="E56" t="s">
        <v>17</v>
      </c>
      <c r="F56" s="2" t="s">
        <v>345</v>
      </c>
      <c r="G56" s="8" t="s">
        <v>341</v>
      </c>
    </row>
    <row r="57" spans="1:7" hidden="1" x14ac:dyDescent="0.2">
      <c r="A57" t="s">
        <v>2</v>
      </c>
      <c r="B57" t="s">
        <v>331</v>
      </c>
      <c r="C57" t="s">
        <v>86</v>
      </c>
      <c r="D57" t="s">
        <v>84</v>
      </c>
      <c r="E57" t="s">
        <v>91</v>
      </c>
      <c r="F57" s="2" t="s">
        <v>345</v>
      </c>
      <c r="G57" s="8" t="s">
        <v>341</v>
      </c>
    </row>
    <row r="58" spans="1:7" hidden="1" x14ac:dyDescent="0.2">
      <c r="A58" t="s">
        <v>2</v>
      </c>
      <c r="B58" t="s">
        <v>331</v>
      </c>
      <c r="C58" t="s">
        <v>89</v>
      </c>
      <c r="D58" t="s">
        <v>95</v>
      </c>
      <c r="E58" t="s">
        <v>94</v>
      </c>
      <c r="F58" s="2" t="s">
        <v>345</v>
      </c>
      <c r="G58" s="8" t="s">
        <v>341</v>
      </c>
    </row>
    <row r="59" spans="1:7" hidden="1" x14ac:dyDescent="0.2">
      <c r="A59" t="s">
        <v>2</v>
      </c>
      <c r="B59" t="s">
        <v>332</v>
      </c>
      <c r="C59" t="s">
        <v>12</v>
      </c>
      <c r="D59" t="s">
        <v>76</v>
      </c>
      <c r="E59" t="s">
        <v>58</v>
      </c>
      <c r="F59" s="2" t="s">
        <v>340</v>
      </c>
      <c r="G59" s="8" t="s">
        <v>341</v>
      </c>
    </row>
    <row r="60" spans="1:7" hidden="1" x14ac:dyDescent="0.2">
      <c r="A60" t="s">
        <v>2</v>
      </c>
      <c r="B60" t="s">
        <v>332</v>
      </c>
      <c r="C60" t="s">
        <v>14</v>
      </c>
      <c r="D60" t="s">
        <v>67</v>
      </c>
      <c r="E60" t="s">
        <v>65</v>
      </c>
      <c r="F60" s="2" t="s">
        <v>340</v>
      </c>
      <c r="G60" s="8" t="s">
        <v>341</v>
      </c>
    </row>
    <row r="61" spans="1:7" hidden="1" x14ac:dyDescent="0.2">
      <c r="A61" t="s">
        <v>2</v>
      </c>
      <c r="B61" t="s">
        <v>332</v>
      </c>
      <c r="C61" t="s">
        <v>15</v>
      </c>
      <c r="D61" t="s">
        <v>68</v>
      </c>
      <c r="E61" t="s">
        <v>69</v>
      </c>
      <c r="F61" s="2" t="s">
        <v>340</v>
      </c>
      <c r="G61" s="8" t="s">
        <v>341</v>
      </c>
    </row>
    <row r="62" spans="1:7" hidden="1" x14ac:dyDescent="0.2">
      <c r="A62" t="s">
        <v>2</v>
      </c>
      <c r="B62" t="s">
        <v>332</v>
      </c>
      <c r="C62" t="s">
        <v>16</v>
      </c>
      <c r="D62" t="s">
        <v>75</v>
      </c>
      <c r="E62" t="s">
        <v>71</v>
      </c>
      <c r="F62" s="2" t="s">
        <v>340</v>
      </c>
      <c r="G62" s="8" t="s">
        <v>341</v>
      </c>
    </row>
    <row r="63" spans="1:7" hidden="1" x14ac:dyDescent="0.2">
      <c r="A63" t="s">
        <v>2</v>
      </c>
      <c r="B63" t="s">
        <v>332</v>
      </c>
      <c r="C63" t="s">
        <v>74</v>
      </c>
      <c r="D63" t="s">
        <v>87</v>
      </c>
      <c r="E63" t="s">
        <v>78</v>
      </c>
      <c r="F63" s="2" t="s">
        <v>340</v>
      </c>
      <c r="G63" s="8" t="s">
        <v>341</v>
      </c>
    </row>
    <row r="64" spans="1:7" hidden="1" x14ac:dyDescent="0.2">
      <c r="A64" t="s">
        <v>2</v>
      </c>
      <c r="B64" t="s">
        <v>332</v>
      </c>
      <c r="C64" t="s">
        <v>79</v>
      </c>
      <c r="D64" t="s">
        <v>80</v>
      </c>
      <c r="E64" t="s">
        <v>83</v>
      </c>
      <c r="F64" s="2" t="s">
        <v>340</v>
      </c>
      <c r="G64" s="8" t="s">
        <v>341</v>
      </c>
    </row>
    <row r="65" spans="1:7" hidden="1" x14ac:dyDescent="0.2">
      <c r="A65" t="s">
        <v>2</v>
      </c>
      <c r="B65" t="s">
        <v>332</v>
      </c>
      <c r="C65" t="s">
        <v>81</v>
      </c>
      <c r="D65" t="s">
        <v>88</v>
      </c>
      <c r="E65" t="s">
        <v>17</v>
      </c>
      <c r="F65" s="2" t="s">
        <v>340</v>
      </c>
      <c r="G65" s="8" t="s">
        <v>341</v>
      </c>
    </row>
    <row r="66" spans="1:7" hidden="1" x14ac:dyDescent="0.2">
      <c r="A66" t="s">
        <v>2</v>
      </c>
      <c r="B66" t="s">
        <v>332</v>
      </c>
      <c r="C66" t="s">
        <v>86</v>
      </c>
      <c r="D66" t="s">
        <v>84</v>
      </c>
      <c r="E66" t="s">
        <v>91</v>
      </c>
      <c r="F66" s="2" t="s">
        <v>340</v>
      </c>
      <c r="G66" s="8" t="s">
        <v>341</v>
      </c>
    </row>
    <row r="67" spans="1:7" hidden="1" x14ac:dyDescent="0.2">
      <c r="A67" t="s">
        <v>2</v>
      </c>
      <c r="B67" t="s">
        <v>332</v>
      </c>
      <c r="C67" t="s">
        <v>89</v>
      </c>
      <c r="D67" t="s">
        <v>95</v>
      </c>
      <c r="E67" t="s">
        <v>94</v>
      </c>
      <c r="F67" s="2" t="s">
        <v>340</v>
      </c>
      <c r="G67" s="8" t="s">
        <v>341</v>
      </c>
    </row>
    <row r="68" spans="1:7" hidden="1" x14ac:dyDescent="0.2">
      <c r="A68" t="s">
        <v>2</v>
      </c>
      <c r="B68" t="s">
        <v>332</v>
      </c>
      <c r="C68" t="s">
        <v>12</v>
      </c>
      <c r="D68" t="s">
        <v>76</v>
      </c>
      <c r="E68" t="s">
        <v>58</v>
      </c>
      <c r="F68" s="2" t="s">
        <v>345</v>
      </c>
      <c r="G68" s="8" t="s">
        <v>341</v>
      </c>
    </row>
    <row r="69" spans="1:7" hidden="1" x14ac:dyDescent="0.2">
      <c r="A69" t="s">
        <v>2</v>
      </c>
      <c r="B69" t="s">
        <v>332</v>
      </c>
      <c r="C69" t="s">
        <v>14</v>
      </c>
      <c r="D69" t="s">
        <v>67</v>
      </c>
      <c r="E69" t="s">
        <v>65</v>
      </c>
      <c r="F69" s="2" t="s">
        <v>345</v>
      </c>
      <c r="G69" s="8" t="s">
        <v>341</v>
      </c>
    </row>
    <row r="70" spans="1:7" hidden="1" x14ac:dyDescent="0.2">
      <c r="A70" t="s">
        <v>2</v>
      </c>
      <c r="B70" t="s">
        <v>332</v>
      </c>
      <c r="C70" t="s">
        <v>15</v>
      </c>
      <c r="D70" t="s">
        <v>68</v>
      </c>
      <c r="E70" t="s">
        <v>69</v>
      </c>
      <c r="F70" s="2" t="s">
        <v>345</v>
      </c>
      <c r="G70" s="8" t="s">
        <v>341</v>
      </c>
    </row>
    <row r="71" spans="1:7" hidden="1" x14ac:dyDescent="0.2">
      <c r="A71" t="s">
        <v>2</v>
      </c>
      <c r="B71" t="s">
        <v>332</v>
      </c>
      <c r="C71" t="s">
        <v>16</v>
      </c>
      <c r="D71" t="s">
        <v>75</v>
      </c>
      <c r="E71" t="s">
        <v>71</v>
      </c>
      <c r="F71" s="2" t="s">
        <v>345</v>
      </c>
      <c r="G71" s="8" t="s">
        <v>341</v>
      </c>
    </row>
    <row r="72" spans="1:7" hidden="1" x14ac:dyDescent="0.2">
      <c r="A72" t="s">
        <v>2</v>
      </c>
      <c r="B72" t="s">
        <v>332</v>
      </c>
      <c r="C72" t="s">
        <v>74</v>
      </c>
      <c r="D72" t="s">
        <v>87</v>
      </c>
      <c r="E72" t="s">
        <v>78</v>
      </c>
      <c r="F72" s="2" t="s">
        <v>345</v>
      </c>
      <c r="G72" s="8" t="s">
        <v>341</v>
      </c>
    </row>
    <row r="73" spans="1:7" hidden="1" x14ac:dyDescent="0.2">
      <c r="A73" t="s">
        <v>2</v>
      </c>
      <c r="B73" t="s">
        <v>332</v>
      </c>
      <c r="C73" t="s">
        <v>79</v>
      </c>
      <c r="D73" t="s">
        <v>80</v>
      </c>
      <c r="E73" t="s">
        <v>83</v>
      </c>
      <c r="F73" s="2" t="s">
        <v>345</v>
      </c>
      <c r="G73" s="8" t="s">
        <v>341</v>
      </c>
    </row>
    <row r="74" spans="1:7" hidden="1" x14ac:dyDescent="0.2">
      <c r="A74" t="s">
        <v>2</v>
      </c>
      <c r="B74" t="s">
        <v>332</v>
      </c>
      <c r="C74" t="s">
        <v>81</v>
      </c>
      <c r="D74" t="s">
        <v>88</v>
      </c>
      <c r="E74" t="s">
        <v>17</v>
      </c>
      <c r="F74" s="2" t="s">
        <v>345</v>
      </c>
      <c r="G74" s="8" t="s">
        <v>341</v>
      </c>
    </row>
    <row r="75" spans="1:7" hidden="1" x14ac:dyDescent="0.2">
      <c r="A75" t="s">
        <v>2</v>
      </c>
      <c r="B75" t="s">
        <v>332</v>
      </c>
      <c r="C75" t="s">
        <v>86</v>
      </c>
      <c r="D75" t="s">
        <v>84</v>
      </c>
      <c r="E75" t="s">
        <v>91</v>
      </c>
      <c r="F75" s="2" t="s">
        <v>345</v>
      </c>
      <c r="G75" s="8" t="s">
        <v>341</v>
      </c>
    </row>
    <row r="76" spans="1:7" hidden="1" x14ac:dyDescent="0.2">
      <c r="A76" t="s">
        <v>2</v>
      </c>
      <c r="B76" t="s">
        <v>332</v>
      </c>
      <c r="C76" t="s">
        <v>89</v>
      </c>
      <c r="D76" t="s">
        <v>95</v>
      </c>
      <c r="E76" t="s">
        <v>94</v>
      </c>
      <c r="F76" s="2" t="s">
        <v>345</v>
      </c>
      <c r="G76" s="8" t="s">
        <v>341</v>
      </c>
    </row>
    <row r="77" spans="1:7" hidden="1" x14ac:dyDescent="0.2">
      <c r="A77" t="s">
        <v>2</v>
      </c>
      <c r="B77" t="s">
        <v>332</v>
      </c>
      <c r="C77" t="s">
        <v>12</v>
      </c>
      <c r="D77" t="s">
        <v>76</v>
      </c>
      <c r="E77" t="s">
        <v>58</v>
      </c>
      <c r="F77" s="2" t="s">
        <v>347</v>
      </c>
      <c r="G77" s="8" t="s">
        <v>346</v>
      </c>
    </row>
    <row r="78" spans="1:7" hidden="1" x14ac:dyDescent="0.2">
      <c r="A78" t="s">
        <v>2</v>
      </c>
      <c r="B78" t="s">
        <v>332</v>
      </c>
      <c r="C78" t="s">
        <v>14</v>
      </c>
      <c r="D78" t="s">
        <v>67</v>
      </c>
      <c r="E78" t="s">
        <v>65</v>
      </c>
      <c r="F78" s="2" t="s">
        <v>347</v>
      </c>
      <c r="G78" s="8" t="s">
        <v>346</v>
      </c>
    </row>
    <row r="79" spans="1:7" hidden="1" x14ac:dyDescent="0.2">
      <c r="A79" t="s">
        <v>2</v>
      </c>
      <c r="B79" t="s">
        <v>332</v>
      </c>
      <c r="C79" t="s">
        <v>15</v>
      </c>
      <c r="D79" t="s">
        <v>68</v>
      </c>
      <c r="E79" t="s">
        <v>69</v>
      </c>
      <c r="F79" s="2" t="s">
        <v>347</v>
      </c>
      <c r="G79" s="8" t="s">
        <v>346</v>
      </c>
    </row>
    <row r="80" spans="1:7" hidden="1" x14ac:dyDescent="0.2">
      <c r="A80" t="s">
        <v>2</v>
      </c>
      <c r="B80" t="s">
        <v>332</v>
      </c>
      <c r="C80" t="s">
        <v>16</v>
      </c>
      <c r="D80" t="s">
        <v>75</v>
      </c>
      <c r="E80" t="s">
        <v>71</v>
      </c>
      <c r="F80" s="2" t="s">
        <v>347</v>
      </c>
      <c r="G80" s="8" t="s">
        <v>346</v>
      </c>
    </row>
    <row r="81" spans="1:7" hidden="1" x14ac:dyDescent="0.2">
      <c r="A81" t="s">
        <v>2</v>
      </c>
      <c r="B81" t="s">
        <v>332</v>
      </c>
      <c r="C81" t="s">
        <v>74</v>
      </c>
      <c r="D81" t="s">
        <v>87</v>
      </c>
      <c r="E81" t="s">
        <v>78</v>
      </c>
      <c r="F81" s="2" t="s">
        <v>347</v>
      </c>
      <c r="G81" s="8" t="s">
        <v>346</v>
      </c>
    </row>
    <row r="82" spans="1:7" hidden="1" x14ac:dyDescent="0.2">
      <c r="A82" t="s">
        <v>2</v>
      </c>
      <c r="B82" t="s">
        <v>332</v>
      </c>
      <c r="C82" t="s">
        <v>79</v>
      </c>
      <c r="D82" t="s">
        <v>80</v>
      </c>
      <c r="E82" t="s">
        <v>83</v>
      </c>
      <c r="F82" s="2" t="s">
        <v>347</v>
      </c>
      <c r="G82" s="8" t="s">
        <v>346</v>
      </c>
    </row>
    <row r="83" spans="1:7" hidden="1" x14ac:dyDescent="0.2">
      <c r="A83" t="s">
        <v>2</v>
      </c>
      <c r="B83" t="s">
        <v>332</v>
      </c>
      <c r="C83" t="s">
        <v>81</v>
      </c>
      <c r="D83" t="s">
        <v>88</v>
      </c>
      <c r="E83" t="s">
        <v>17</v>
      </c>
      <c r="F83" s="2" t="s">
        <v>347</v>
      </c>
      <c r="G83" s="8" t="s">
        <v>346</v>
      </c>
    </row>
    <row r="84" spans="1:7" hidden="1" x14ac:dyDescent="0.2">
      <c r="A84" t="s">
        <v>2</v>
      </c>
      <c r="B84" t="s">
        <v>332</v>
      </c>
      <c r="C84" t="s">
        <v>86</v>
      </c>
      <c r="D84" t="s">
        <v>84</v>
      </c>
      <c r="E84" t="s">
        <v>91</v>
      </c>
      <c r="F84" s="2" t="s">
        <v>347</v>
      </c>
      <c r="G84" s="8" t="s">
        <v>346</v>
      </c>
    </row>
    <row r="85" spans="1:7" hidden="1" x14ac:dyDescent="0.2">
      <c r="A85" t="s">
        <v>2</v>
      </c>
      <c r="B85" t="s">
        <v>332</v>
      </c>
      <c r="C85" t="s">
        <v>89</v>
      </c>
      <c r="D85" t="s">
        <v>95</v>
      </c>
      <c r="E85" t="s">
        <v>94</v>
      </c>
      <c r="F85" s="2" t="s">
        <v>347</v>
      </c>
      <c r="G85" s="8" t="s">
        <v>346</v>
      </c>
    </row>
  </sheetData>
  <autoFilter ref="A1:G85" xr:uid="{E3D368BE-9DF0-1A41-8CF6-E1F32D0B1C16}">
    <filterColumn colId="2">
      <filters>
        <filter val="w011"/>
      </filters>
    </filterColumn>
  </autoFilter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640E01-4EC9-8240-8C2D-92AD27E43EC8}">
          <x14:formula1>
            <xm:f>ref!$B$2:$B$17</xm:f>
          </x14:formula1>
          <xm:sqref>D86:E89 D68:E71 D77:E80 D2:E7 D9:E62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E70"/>
  <sheetViews>
    <sheetView zoomScale="140" zoomScaleNormal="140" workbookViewId="0">
      <selection activeCell="D2" sqref="D2:D11"/>
    </sheetView>
  </sheetViews>
  <sheetFormatPr baseColWidth="10" defaultRowHeight="16" x14ac:dyDescent="0.2"/>
  <cols>
    <col min="3" max="4" width="29.6640625" customWidth="1"/>
  </cols>
  <sheetData>
    <row r="1" spans="1:5" x14ac:dyDescent="0.2">
      <c r="A1" t="s">
        <v>0</v>
      </c>
      <c r="B1" t="s">
        <v>6</v>
      </c>
      <c r="C1" t="s">
        <v>8</v>
      </c>
      <c r="D1" t="s">
        <v>28</v>
      </c>
      <c r="E1" t="s">
        <v>215</v>
      </c>
    </row>
    <row r="2" spans="1:5" x14ac:dyDescent="0.2">
      <c r="A2" t="s">
        <v>2</v>
      </c>
      <c r="B2" t="s">
        <v>29</v>
      </c>
      <c r="C2" t="s">
        <v>47</v>
      </c>
      <c r="D2" t="s">
        <v>349</v>
      </c>
      <c r="E2" t="s">
        <v>339</v>
      </c>
    </row>
    <row r="3" spans="1:5" x14ac:dyDescent="0.2">
      <c r="A3" t="s">
        <v>2</v>
      </c>
      <c r="B3" t="s">
        <v>29</v>
      </c>
      <c r="C3" t="s">
        <v>47</v>
      </c>
      <c r="D3" t="s">
        <v>350</v>
      </c>
      <c r="E3" t="s">
        <v>351</v>
      </c>
    </row>
    <row r="4" spans="1:5" x14ac:dyDescent="0.2">
      <c r="A4" t="s">
        <v>2</v>
      </c>
      <c r="B4" t="s">
        <v>29</v>
      </c>
      <c r="C4" t="s">
        <v>47</v>
      </c>
      <c r="D4" t="s">
        <v>352</v>
      </c>
      <c r="E4" t="s">
        <v>351</v>
      </c>
    </row>
    <row r="5" spans="1:5" x14ac:dyDescent="0.2">
      <c r="A5" t="s">
        <v>2</v>
      </c>
      <c r="B5" t="s">
        <v>29</v>
      </c>
      <c r="C5" t="s">
        <v>47</v>
      </c>
      <c r="D5" t="s">
        <v>353</v>
      </c>
      <c r="E5" t="s">
        <v>351</v>
      </c>
    </row>
    <row r="6" spans="1:5" x14ac:dyDescent="0.2">
      <c r="A6" t="s">
        <v>2</v>
      </c>
      <c r="B6" t="s">
        <v>29</v>
      </c>
      <c r="C6" t="s">
        <v>47</v>
      </c>
      <c r="D6" t="s">
        <v>354</v>
      </c>
      <c r="E6" t="s">
        <v>351</v>
      </c>
    </row>
    <row r="7" spans="1:5" x14ac:dyDescent="0.2">
      <c r="A7" t="s">
        <v>2</v>
      </c>
      <c r="B7" t="s">
        <v>29</v>
      </c>
      <c r="C7" t="s">
        <v>47</v>
      </c>
      <c r="D7" t="s">
        <v>355</v>
      </c>
      <c r="E7" t="s">
        <v>356</v>
      </c>
    </row>
    <row r="8" spans="1:5" x14ac:dyDescent="0.2">
      <c r="A8" t="s">
        <v>2</v>
      </c>
      <c r="B8" t="s">
        <v>29</v>
      </c>
      <c r="C8" t="s">
        <v>47</v>
      </c>
      <c r="D8" t="s">
        <v>357</v>
      </c>
      <c r="E8" t="s">
        <v>356</v>
      </c>
    </row>
    <row r="9" spans="1:5" x14ac:dyDescent="0.2">
      <c r="A9" t="s">
        <v>2</v>
      </c>
      <c r="B9" t="s">
        <v>29</v>
      </c>
      <c r="C9" t="s">
        <v>47</v>
      </c>
      <c r="D9" t="s">
        <v>358</v>
      </c>
      <c r="E9" t="s">
        <v>359</v>
      </c>
    </row>
    <row r="10" spans="1:5" x14ac:dyDescent="0.2">
      <c r="A10" t="s">
        <v>2</v>
      </c>
      <c r="B10" t="s">
        <v>29</v>
      </c>
      <c r="C10" t="s">
        <v>47</v>
      </c>
      <c r="D10" t="s">
        <v>360</v>
      </c>
      <c r="E10" t="s">
        <v>359</v>
      </c>
    </row>
    <row r="11" spans="1:5" x14ac:dyDescent="0.2">
      <c r="A11" t="s">
        <v>2</v>
      </c>
      <c r="B11" t="s">
        <v>29</v>
      </c>
      <c r="C11" t="s">
        <v>47</v>
      </c>
      <c r="D11" t="s">
        <v>361</v>
      </c>
      <c r="E11" t="s">
        <v>362</v>
      </c>
    </row>
    <row r="12" spans="1:5" x14ac:dyDescent="0.2">
      <c r="A12" t="s">
        <v>2</v>
      </c>
      <c r="B12" t="s">
        <v>30</v>
      </c>
      <c r="C12" t="s">
        <v>105</v>
      </c>
      <c r="D12" t="s">
        <v>363</v>
      </c>
      <c r="E12" s="1" t="s">
        <v>364</v>
      </c>
    </row>
    <row r="13" spans="1:5" x14ac:dyDescent="0.2">
      <c r="A13" t="s">
        <v>2</v>
      </c>
      <c r="B13" t="s">
        <v>30</v>
      </c>
      <c r="C13" t="s">
        <v>105</v>
      </c>
      <c r="D13" t="s">
        <v>365</v>
      </c>
      <c r="E13" s="1" t="s">
        <v>364</v>
      </c>
    </row>
    <row r="14" spans="1:5" x14ac:dyDescent="0.2">
      <c r="A14" t="s">
        <v>2</v>
      </c>
      <c r="B14" t="s">
        <v>30</v>
      </c>
      <c r="C14" t="s">
        <v>105</v>
      </c>
      <c r="D14" t="s">
        <v>366</v>
      </c>
      <c r="E14" s="1" t="s">
        <v>364</v>
      </c>
    </row>
    <row r="15" spans="1:5" x14ac:dyDescent="0.2">
      <c r="A15" t="s">
        <v>2</v>
      </c>
      <c r="B15" t="s">
        <v>31</v>
      </c>
      <c r="C15" t="s">
        <v>109</v>
      </c>
      <c r="D15" t="s">
        <v>367</v>
      </c>
      <c r="E15" t="s">
        <v>368</v>
      </c>
    </row>
    <row r="16" spans="1:5" x14ac:dyDescent="0.2">
      <c r="A16" t="s">
        <v>2</v>
      </c>
      <c r="B16" t="s">
        <v>31</v>
      </c>
      <c r="C16" t="s">
        <v>109</v>
      </c>
      <c r="D16" t="s">
        <v>360</v>
      </c>
      <c r="E16" t="s">
        <v>359</v>
      </c>
    </row>
    <row r="17" spans="1:5" x14ac:dyDescent="0.2">
      <c r="A17" t="s">
        <v>2</v>
      </c>
      <c r="B17" t="s">
        <v>31</v>
      </c>
      <c r="C17" t="s">
        <v>109</v>
      </c>
      <c r="D17" t="s">
        <v>355</v>
      </c>
      <c r="E17" t="s">
        <v>356</v>
      </c>
    </row>
    <row r="18" spans="1:5" x14ac:dyDescent="0.2">
      <c r="A18" t="s">
        <v>2</v>
      </c>
      <c r="B18" t="s">
        <v>31</v>
      </c>
      <c r="C18" t="s">
        <v>109</v>
      </c>
      <c r="D18" t="s">
        <v>357</v>
      </c>
      <c r="E18" t="s">
        <v>356</v>
      </c>
    </row>
    <row r="19" spans="1:5" x14ac:dyDescent="0.2">
      <c r="A19" t="s">
        <v>2</v>
      </c>
      <c r="B19" t="s">
        <v>31</v>
      </c>
      <c r="C19" t="s">
        <v>109</v>
      </c>
      <c r="D19" t="s">
        <v>369</v>
      </c>
      <c r="E19" t="s">
        <v>370</v>
      </c>
    </row>
    <row r="20" spans="1:5" x14ac:dyDescent="0.2">
      <c r="A20" t="s">
        <v>2</v>
      </c>
      <c r="B20" t="s">
        <v>31</v>
      </c>
      <c r="C20" t="s">
        <v>109</v>
      </c>
      <c r="D20" t="s">
        <v>371</v>
      </c>
      <c r="E20" t="s">
        <v>372</v>
      </c>
    </row>
    <row r="21" spans="1:5" x14ac:dyDescent="0.2">
      <c r="A21" t="s">
        <v>2</v>
      </c>
      <c r="B21" t="s">
        <v>31</v>
      </c>
      <c r="C21" t="s">
        <v>109</v>
      </c>
      <c r="D21" t="s">
        <v>373</v>
      </c>
      <c r="E21" t="s">
        <v>374</v>
      </c>
    </row>
    <row r="22" spans="1:5" x14ac:dyDescent="0.2">
      <c r="A22" t="s">
        <v>2</v>
      </c>
      <c r="B22" t="s">
        <v>31</v>
      </c>
      <c r="C22" t="s">
        <v>109</v>
      </c>
      <c r="D22" t="s">
        <v>375</v>
      </c>
      <c r="E22" t="s">
        <v>374</v>
      </c>
    </row>
    <row r="23" spans="1:5" x14ac:dyDescent="0.2">
      <c r="A23" t="s">
        <v>2</v>
      </c>
      <c r="B23" t="s">
        <v>31</v>
      </c>
      <c r="C23" t="s">
        <v>109</v>
      </c>
      <c r="D23" t="s">
        <v>376</v>
      </c>
      <c r="E23" t="s">
        <v>368</v>
      </c>
    </row>
    <row r="24" spans="1:5" x14ac:dyDescent="0.2">
      <c r="A24" t="s">
        <v>2</v>
      </c>
      <c r="B24" t="s">
        <v>31</v>
      </c>
      <c r="C24" t="s">
        <v>109</v>
      </c>
      <c r="D24" t="s">
        <v>361</v>
      </c>
      <c r="E24" t="s">
        <v>362</v>
      </c>
    </row>
    <row r="25" spans="1:5" x14ac:dyDescent="0.2">
      <c r="A25" t="s">
        <v>2</v>
      </c>
      <c r="B25" t="s">
        <v>31</v>
      </c>
      <c r="C25" t="s">
        <v>109</v>
      </c>
      <c r="D25" t="s">
        <v>349</v>
      </c>
      <c r="E25" t="s">
        <v>339</v>
      </c>
    </row>
    <row r="26" spans="1:5" x14ac:dyDescent="0.2">
      <c r="A26" t="s">
        <v>2</v>
      </c>
      <c r="B26" t="s">
        <v>31</v>
      </c>
      <c r="C26" t="s">
        <v>109</v>
      </c>
      <c r="D26" t="s">
        <v>377</v>
      </c>
      <c r="E26" t="s">
        <v>378</v>
      </c>
    </row>
    <row r="27" spans="1:5" x14ac:dyDescent="0.2">
      <c r="A27" t="s">
        <v>2</v>
      </c>
      <c r="B27" t="s">
        <v>31</v>
      </c>
      <c r="C27" t="s">
        <v>109</v>
      </c>
      <c r="D27" t="s">
        <v>379</v>
      </c>
      <c r="E27" t="s">
        <v>378</v>
      </c>
    </row>
    <row r="28" spans="1:5" x14ac:dyDescent="0.2">
      <c r="A28" t="s">
        <v>2</v>
      </c>
      <c r="B28" t="s">
        <v>31</v>
      </c>
      <c r="C28" t="s">
        <v>109</v>
      </c>
      <c r="D28" t="s">
        <v>380</v>
      </c>
      <c r="E28" t="s">
        <v>378</v>
      </c>
    </row>
    <row r="29" spans="1:5" x14ac:dyDescent="0.2">
      <c r="A29" t="s">
        <v>2</v>
      </c>
      <c r="B29" t="s">
        <v>32</v>
      </c>
      <c r="C29" t="s">
        <v>114</v>
      </c>
      <c r="D29" t="s">
        <v>349</v>
      </c>
      <c r="E29" t="s">
        <v>339</v>
      </c>
    </row>
    <row r="30" spans="1:5" x14ac:dyDescent="0.2">
      <c r="A30" t="s">
        <v>2</v>
      </c>
      <c r="B30" t="s">
        <v>32</v>
      </c>
      <c r="C30" t="s">
        <v>114</v>
      </c>
      <c r="D30" t="s">
        <v>350</v>
      </c>
      <c r="E30" t="s">
        <v>351</v>
      </c>
    </row>
    <row r="31" spans="1:5" x14ac:dyDescent="0.2">
      <c r="A31" t="s">
        <v>2</v>
      </c>
      <c r="B31" t="s">
        <v>32</v>
      </c>
      <c r="C31" t="s">
        <v>114</v>
      </c>
      <c r="D31" t="s">
        <v>352</v>
      </c>
      <c r="E31" t="s">
        <v>351</v>
      </c>
    </row>
    <row r="32" spans="1:5" x14ac:dyDescent="0.2">
      <c r="A32" t="s">
        <v>2</v>
      </c>
      <c r="B32" t="s">
        <v>33</v>
      </c>
      <c r="C32" t="s">
        <v>116</v>
      </c>
      <c r="D32" t="s">
        <v>349</v>
      </c>
      <c r="E32" t="s">
        <v>339</v>
      </c>
    </row>
    <row r="33" spans="1:5" x14ac:dyDescent="0.2">
      <c r="A33" t="s">
        <v>2</v>
      </c>
      <c r="B33" t="s">
        <v>33</v>
      </c>
      <c r="C33" t="s">
        <v>116</v>
      </c>
      <c r="D33" t="s">
        <v>350</v>
      </c>
      <c r="E33" t="s">
        <v>351</v>
      </c>
    </row>
    <row r="34" spans="1:5" x14ac:dyDescent="0.2">
      <c r="A34" t="s">
        <v>2</v>
      </c>
      <c r="B34" t="s">
        <v>33</v>
      </c>
      <c r="C34" t="s">
        <v>116</v>
      </c>
      <c r="D34" t="s">
        <v>352</v>
      </c>
      <c r="E34" t="s">
        <v>351</v>
      </c>
    </row>
    <row r="35" spans="1:5" x14ac:dyDescent="0.2">
      <c r="A35" t="s">
        <v>2</v>
      </c>
      <c r="B35" t="s">
        <v>53</v>
      </c>
      <c r="C35" t="s">
        <v>52</v>
      </c>
      <c r="D35" t="s">
        <v>367</v>
      </c>
      <c r="E35" t="s">
        <v>368</v>
      </c>
    </row>
    <row r="36" spans="1:5" x14ac:dyDescent="0.2">
      <c r="A36" t="s">
        <v>2</v>
      </c>
      <c r="B36" t="s">
        <v>53</v>
      </c>
      <c r="C36" t="s">
        <v>52</v>
      </c>
      <c r="D36" t="s">
        <v>360</v>
      </c>
      <c r="E36" t="s">
        <v>359</v>
      </c>
    </row>
    <row r="37" spans="1:5" x14ac:dyDescent="0.2">
      <c r="A37" t="s">
        <v>2</v>
      </c>
      <c r="B37" t="s">
        <v>53</v>
      </c>
      <c r="C37" t="s">
        <v>52</v>
      </c>
      <c r="D37" t="s">
        <v>355</v>
      </c>
      <c r="E37" t="s">
        <v>356</v>
      </c>
    </row>
    <row r="38" spans="1:5" x14ac:dyDescent="0.2">
      <c r="A38" t="s">
        <v>2</v>
      </c>
      <c r="B38" t="s">
        <v>53</v>
      </c>
      <c r="C38" t="s">
        <v>52</v>
      </c>
      <c r="D38" t="s">
        <v>357</v>
      </c>
      <c r="E38" t="s">
        <v>356</v>
      </c>
    </row>
    <row r="39" spans="1:5" x14ac:dyDescent="0.2">
      <c r="A39" t="s">
        <v>2</v>
      </c>
      <c r="B39" t="s">
        <v>53</v>
      </c>
      <c r="C39" t="s">
        <v>52</v>
      </c>
      <c r="D39" t="s">
        <v>369</v>
      </c>
      <c r="E39" t="s">
        <v>370</v>
      </c>
    </row>
    <row r="40" spans="1:5" x14ac:dyDescent="0.2">
      <c r="A40" t="s">
        <v>2</v>
      </c>
      <c r="B40" t="s">
        <v>53</v>
      </c>
      <c r="C40" t="s">
        <v>52</v>
      </c>
      <c r="D40" t="s">
        <v>373</v>
      </c>
      <c r="E40" t="s">
        <v>374</v>
      </c>
    </row>
    <row r="41" spans="1:5" x14ac:dyDescent="0.2">
      <c r="A41" t="s">
        <v>2</v>
      </c>
      <c r="B41" t="s">
        <v>123</v>
      </c>
      <c r="C41" t="s">
        <v>51</v>
      </c>
      <c r="D41" t="s">
        <v>367</v>
      </c>
      <c r="E41" t="s">
        <v>368</v>
      </c>
    </row>
    <row r="42" spans="1:5" x14ac:dyDescent="0.2">
      <c r="A42" t="s">
        <v>2</v>
      </c>
      <c r="B42" t="s">
        <v>123</v>
      </c>
      <c r="C42" t="s">
        <v>51</v>
      </c>
      <c r="D42" t="s">
        <v>349</v>
      </c>
      <c r="E42" t="s">
        <v>339</v>
      </c>
    </row>
    <row r="43" spans="1:5" x14ac:dyDescent="0.2">
      <c r="A43" t="s">
        <v>2</v>
      </c>
      <c r="B43" t="s">
        <v>123</v>
      </c>
      <c r="C43" t="s">
        <v>51</v>
      </c>
      <c r="D43" t="s">
        <v>381</v>
      </c>
      <c r="E43" t="s">
        <v>382</v>
      </c>
    </row>
    <row r="44" spans="1:5" x14ac:dyDescent="0.2">
      <c r="A44" t="s">
        <v>2</v>
      </c>
      <c r="B44" t="s">
        <v>123</v>
      </c>
      <c r="C44" t="s">
        <v>51</v>
      </c>
      <c r="D44" t="s">
        <v>369</v>
      </c>
      <c r="E44" t="s">
        <v>370</v>
      </c>
    </row>
    <row r="45" spans="1:5" x14ac:dyDescent="0.2">
      <c r="A45" t="s">
        <v>2</v>
      </c>
      <c r="B45" t="s">
        <v>123</v>
      </c>
      <c r="C45" t="s">
        <v>51</v>
      </c>
      <c r="D45" t="s">
        <v>376</v>
      </c>
      <c r="E45" t="s">
        <v>368</v>
      </c>
    </row>
    <row r="46" spans="1:5" x14ac:dyDescent="0.2">
      <c r="A46" t="s">
        <v>2</v>
      </c>
      <c r="B46" t="s">
        <v>124</v>
      </c>
      <c r="C46" t="s">
        <v>49</v>
      </c>
      <c r="D46" t="s">
        <v>350</v>
      </c>
      <c r="E46" t="s">
        <v>351</v>
      </c>
    </row>
    <row r="47" spans="1:5" x14ac:dyDescent="0.2">
      <c r="A47" t="s">
        <v>2</v>
      </c>
      <c r="B47" t="s">
        <v>124</v>
      </c>
      <c r="C47" t="s">
        <v>49</v>
      </c>
      <c r="D47" t="s">
        <v>352</v>
      </c>
      <c r="E47" t="s">
        <v>351</v>
      </c>
    </row>
    <row r="48" spans="1:5" x14ac:dyDescent="0.2">
      <c r="A48" t="s">
        <v>2</v>
      </c>
      <c r="B48" t="s">
        <v>124</v>
      </c>
      <c r="C48" t="s">
        <v>49</v>
      </c>
      <c r="D48" t="s">
        <v>354</v>
      </c>
      <c r="E48" t="s">
        <v>351</v>
      </c>
    </row>
    <row r="49" spans="1:5" x14ac:dyDescent="0.2">
      <c r="A49" t="s">
        <v>2</v>
      </c>
      <c r="B49" t="s">
        <v>124</v>
      </c>
      <c r="C49" t="s">
        <v>49</v>
      </c>
      <c r="D49" t="s">
        <v>383</v>
      </c>
      <c r="E49" t="s">
        <v>384</v>
      </c>
    </row>
    <row r="50" spans="1:5" x14ac:dyDescent="0.2">
      <c r="A50" t="s">
        <v>2</v>
      </c>
      <c r="B50" t="s">
        <v>124</v>
      </c>
      <c r="C50" t="s">
        <v>49</v>
      </c>
      <c r="D50" t="s">
        <v>385</v>
      </c>
      <c r="E50" t="s">
        <v>386</v>
      </c>
    </row>
    <row r="51" spans="1:5" x14ac:dyDescent="0.2">
      <c r="A51" t="s">
        <v>2</v>
      </c>
      <c r="B51" t="s">
        <v>124</v>
      </c>
      <c r="C51" t="s">
        <v>49</v>
      </c>
      <c r="D51" t="s">
        <v>387</v>
      </c>
      <c r="E51" t="s">
        <v>388</v>
      </c>
    </row>
    <row r="52" spans="1:5" x14ac:dyDescent="0.2">
      <c r="A52" t="s">
        <v>2</v>
      </c>
      <c r="B52" t="s">
        <v>124</v>
      </c>
      <c r="C52" t="s">
        <v>49</v>
      </c>
      <c r="D52" t="s">
        <v>389</v>
      </c>
      <c r="E52" t="s">
        <v>390</v>
      </c>
    </row>
    <row r="53" spans="1:5" x14ac:dyDescent="0.2">
      <c r="A53" t="s">
        <v>2</v>
      </c>
      <c r="B53" t="s">
        <v>125</v>
      </c>
      <c r="C53" t="s">
        <v>118</v>
      </c>
      <c r="D53" t="s">
        <v>349</v>
      </c>
      <c r="E53" t="s">
        <v>339</v>
      </c>
    </row>
    <row r="54" spans="1:5" x14ac:dyDescent="0.2">
      <c r="A54" t="s">
        <v>2</v>
      </c>
      <c r="B54" t="s">
        <v>125</v>
      </c>
      <c r="C54" t="s">
        <v>118</v>
      </c>
      <c r="D54" t="s">
        <v>377</v>
      </c>
      <c r="E54" t="s">
        <v>378</v>
      </c>
    </row>
    <row r="55" spans="1:5" x14ac:dyDescent="0.2">
      <c r="A55" t="s">
        <v>2</v>
      </c>
      <c r="B55" t="s">
        <v>125</v>
      </c>
      <c r="C55" t="s">
        <v>118</v>
      </c>
      <c r="D55" t="s">
        <v>379</v>
      </c>
      <c r="E55" t="s">
        <v>378</v>
      </c>
    </row>
    <row r="56" spans="1:5" x14ac:dyDescent="0.2">
      <c r="A56" t="s">
        <v>2</v>
      </c>
      <c r="B56" t="s">
        <v>125</v>
      </c>
      <c r="C56" t="s">
        <v>120</v>
      </c>
      <c r="D56" t="s">
        <v>349</v>
      </c>
      <c r="E56" t="s">
        <v>339</v>
      </c>
    </row>
    <row r="57" spans="1:5" x14ac:dyDescent="0.2">
      <c r="A57" t="s">
        <v>2</v>
      </c>
      <c r="B57" t="s">
        <v>125</v>
      </c>
      <c r="C57" t="s">
        <v>120</v>
      </c>
      <c r="D57" t="s">
        <v>350</v>
      </c>
      <c r="E57" t="s">
        <v>351</v>
      </c>
    </row>
    <row r="58" spans="1:5" x14ac:dyDescent="0.2">
      <c r="A58" t="s">
        <v>2</v>
      </c>
      <c r="B58" t="s">
        <v>125</v>
      </c>
      <c r="C58" t="s">
        <v>120</v>
      </c>
      <c r="D58" t="s">
        <v>352</v>
      </c>
      <c r="E58" t="s">
        <v>351</v>
      </c>
    </row>
    <row r="59" spans="1:5" x14ac:dyDescent="0.2">
      <c r="A59" t="s">
        <v>2</v>
      </c>
      <c r="B59" t="s">
        <v>125</v>
      </c>
      <c r="C59" t="s">
        <v>120</v>
      </c>
      <c r="D59" t="s">
        <v>380</v>
      </c>
      <c r="E59" t="s">
        <v>378</v>
      </c>
    </row>
    <row r="60" spans="1:5" x14ac:dyDescent="0.2">
      <c r="A60" t="s">
        <v>2</v>
      </c>
      <c r="B60" t="s">
        <v>126</v>
      </c>
      <c r="C60" t="s">
        <v>122</v>
      </c>
      <c r="D60" t="s">
        <v>367</v>
      </c>
      <c r="E60" t="s">
        <v>368</v>
      </c>
    </row>
    <row r="61" spans="1:5" x14ac:dyDescent="0.2">
      <c r="A61" t="s">
        <v>2</v>
      </c>
      <c r="B61" t="s">
        <v>126</v>
      </c>
      <c r="C61" t="s">
        <v>122</v>
      </c>
      <c r="D61" t="s">
        <v>360</v>
      </c>
      <c r="E61" t="s">
        <v>359</v>
      </c>
    </row>
    <row r="62" spans="1:5" x14ac:dyDescent="0.2">
      <c r="A62" t="s">
        <v>2</v>
      </c>
      <c r="B62" t="s">
        <v>126</v>
      </c>
      <c r="C62" t="s">
        <v>122</v>
      </c>
      <c r="D62" t="s">
        <v>357</v>
      </c>
      <c r="E62" t="s">
        <v>356</v>
      </c>
    </row>
    <row r="63" spans="1:5" x14ac:dyDescent="0.2">
      <c r="A63" t="s">
        <v>2</v>
      </c>
      <c r="B63" t="s">
        <v>126</v>
      </c>
      <c r="C63" t="s">
        <v>122</v>
      </c>
      <c r="D63" t="s">
        <v>369</v>
      </c>
      <c r="E63" t="s">
        <v>370</v>
      </c>
    </row>
    <row r="64" spans="1:5" x14ac:dyDescent="0.2">
      <c r="A64" t="s">
        <v>2</v>
      </c>
      <c r="B64" t="s">
        <v>126</v>
      </c>
      <c r="C64" t="s">
        <v>122</v>
      </c>
      <c r="D64" t="s">
        <v>371</v>
      </c>
      <c r="E64" t="s">
        <v>372</v>
      </c>
    </row>
    <row r="65" spans="1:5" x14ac:dyDescent="0.2">
      <c r="A65" t="s">
        <v>2</v>
      </c>
      <c r="B65" t="s">
        <v>127</v>
      </c>
      <c r="C65" t="s">
        <v>190</v>
      </c>
      <c r="D65" t="s">
        <v>350</v>
      </c>
      <c r="E65" t="s">
        <v>351</v>
      </c>
    </row>
    <row r="66" spans="1:5" x14ac:dyDescent="0.2">
      <c r="A66" t="s">
        <v>2</v>
      </c>
      <c r="B66" t="s">
        <v>127</v>
      </c>
      <c r="C66" t="s">
        <v>190</v>
      </c>
      <c r="D66" t="s">
        <v>352</v>
      </c>
      <c r="E66" t="s">
        <v>351</v>
      </c>
    </row>
    <row r="67" spans="1:5" x14ac:dyDescent="0.2">
      <c r="A67" t="s">
        <v>2</v>
      </c>
      <c r="B67" t="s">
        <v>127</v>
      </c>
      <c r="C67" t="s">
        <v>190</v>
      </c>
      <c r="D67" t="s">
        <v>354</v>
      </c>
      <c r="E67" t="s">
        <v>351</v>
      </c>
    </row>
    <row r="68" spans="1:5" x14ac:dyDescent="0.2">
      <c r="A68" t="s">
        <v>2</v>
      </c>
      <c r="B68" t="s">
        <v>127</v>
      </c>
      <c r="C68" t="s">
        <v>190</v>
      </c>
      <c r="D68" t="s">
        <v>389</v>
      </c>
      <c r="E68" t="s">
        <v>390</v>
      </c>
    </row>
    <row r="69" spans="1:5" x14ac:dyDescent="0.2">
      <c r="A69" t="s">
        <v>2</v>
      </c>
      <c r="B69" t="s">
        <v>127</v>
      </c>
      <c r="C69" t="s">
        <v>190</v>
      </c>
      <c r="D69" t="s">
        <v>391</v>
      </c>
      <c r="E69" t="s">
        <v>392</v>
      </c>
    </row>
    <row r="70" spans="1:5" x14ac:dyDescent="0.2">
      <c r="A70" t="s">
        <v>2</v>
      </c>
      <c r="B70" t="s">
        <v>127</v>
      </c>
      <c r="C70" t="s">
        <v>190</v>
      </c>
      <c r="D70" t="s">
        <v>393</v>
      </c>
      <c r="E70" t="s">
        <v>394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E51"/>
  <sheetViews>
    <sheetView zoomScale="130" zoomScaleNormal="130" workbookViewId="0">
      <selection activeCell="E3" sqref="E3"/>
    </sheetView>
  </sheetViews>
  <sheetFormatPr baseColWidth="10" defaultRowHeight="16" x14ac:dyDescent="0.2"/>
  <cols>
    <col min="3" max="3" width="15" customWidth="1"/>
    <col min="4" max="4" width="24.6640625" customWidth="1"/>
  </cols>
  <sheetData>
    <row r="1" spans="1:5" x14ac:dyDescent="0.2">
      <c r="A1" t="s">
        <v>0</v>
      </c>
      <c r="B1" t="s">
        <v>18</v>
      </c>
      <c r="C1" t="s">
        <v>20</v>
      </c>
      <c r="D1" t="s">
        <v>28</v>
      </c>
      <c r="E1" t="s">
        <v>216</v>
      </c>
    </row>
    <row r="2" spans="1:5" x14ac:dyDescent="0.2">
      <c r="A2" t="s">
        <v>2</v>
      </c>
      <c r="B2" t="str">
        <f>_xlfn.XLOOKUP(C2,ref!$H$2:$H$19,ref!$G$2:$G$19,"not found")</f>
        <v>d001</v>
      </c>
      <c r="C2" t="s">
        <v>54</v>
      </c>
      <c r="D2" t="s">
        <v>395</v>
      </c>
      <c r="E2" t="s">
        <v>396</v>
      </c>
    </row>
    <row r="3" spans="1:5" x14ac:dyDescent="0.2">
      <c r="A3" t="s">
        <v>2</v>
      </c>
      <c r="B3" t="str">
        <f>_xlfn.XLOOKUP(C3,ref!$H$2:$H$19,ref!$G$2:$G$19,"not found")</f>
        <v>d001</v>
      </c>
      <c r="C3" t="s">
        <v>54</v>
      </c>
      <c r="D3" t="s">
        <v>406</v>
      </c>
      <c r="E3" t="s">
        <v>359</v>
      </c>
    </row>
    <row r="4" spans="1:5" x14ac:dyDescent="0.2">
      <c r="A4" t="s">
        <v>2</v>
      </c>
      <c r="B4" t="str">
        <f>_xlfn.XLOOKUP(C4,ref!$H$2:$H$19,ref!$G$2:$G$19,"not found")</f>
        <v>d001</v>
      </c>
      <c r="C4" t="s">
        <v>54</v>
      </c>
      <c r="D4" t="s">
        <v>407</v>
      </c>
      <c r="E4" t="s">
        <v>382</v>
      </c>
    </row>
    <row r="5" spans="1:5" x14ac:dyDescent="0.2">
      <c r="A5" t="s">
        <v>2</v>
      </c>
      <c r="B5" t="str">
        <f>_xlfn.XLOOKUP(C5,ref!$H$2:$H$19,ref!$G$2:$G$19,"not found")</f>
        <v>d001</v>
      </c>
      <c r="C5" t="s">
        <v>54</v>
      </c>
      <c r="D5" t="s">
        <v>408</v>
      </c>
      <c r="E5" t="s">
        <v>409</v>
      </c>
    </row>
    <row r="6" spans="1:5" x14ac:dyDescent="0.2">
      <c r="A6" t="s">
        <v>2</v>
      </c>
      <c r="B6" t="str">
        <f>_xlfn.XLOOKUP(C6,ref!$H$2:$H$19,ref!$G$2:$G$19,"not found")</f>
        <v>d001</v>
      </c>
      <c r="C6" t="s">
        <v>54</v>
      </c>
      <c r="D6" t="s">
        <v>410</v>
      </c>
      <c r="E6" t="s">
        <v>409</v>
      </c>
    </row>
    <row r="7" spans="1:5" x14ac:dyDescent="0.2">
      <c r="A7" t="s">
        <v>2</v>
      </c>
      <c r="B7" t="str">
        <f>_xlfn.XLOOKUP(C7,ref!$H$2:$H$19,ref!$G$2:$G$19,"not found")</f>
        <v>d001</v>
      </c>
      <c r="C7" t="s">
        <v>54</v>
      </c>
      <c r="D7" t="s">
        <v>411</v>
      </c>
      <c r="E7" t="s">
        <v>412</v>
      </c>
    </row>
    <row r="8" spans="1:5" x14ac:dyDescent="0.2">
      <c r="A8" t="s">
        <v>2</v>
      </c>
      <c r="B8" t="str">
        <f>_xlfn.XLOOKUP(C8,ref!$H$2:$H$19,ref!$G$2:$G$19,"not found")</f>
        <v>d002</v>
      </c>
      <c r="C8" t="s">
        <v>141</v>
      </c>
      <c r="D8" t="s">
        <v>403</v>
      </c>
      <c r="E8" t="s">
        <v>397</v>
      </c>
    </row>
    <row r="9" spans="1:5" x14ac:dyDescent="0.2">
      <c r="A9" t="s">
        <v>2</v>
      </c>
      <c r="B9" t="str">
        <f>_xlfn.XLOOKUP(C9,ref!$H$2:$H$19,ref!$G$2:$G$19,"not found")</f>
        <v>d002</v>
      </c>
      <c r="C9" t="s">
        <v>141</v>
      </c>
      <c r="D9" t="s">
        <v>413</v>
      </c>
      <c r="E9" t="s">
        <v>414</v>
      </c>
    </row>
    <row r="10" spans="1:5" x14ac:dyDescent="0.2">
      <c r="A10" t="s">
        <v>2</v>
      </c>
      <c r="B10" t="str">
        <f>_xlfn.XLOOKUP(C10,ref!$H$2:$H$19,ref!$G$2:$G$19,"not found")</f>
        <v>d002</v>
      </c>
      <c r="C10" t="s">
        <v>141</v>
      </c>
      <c r="D10" t="s">
        <v>411</v>
      </c>
      <c r="E10" t="s">
        <v>412</v>
      </c>
    </row>
    <row r="11" spans="1:5" x14ac:dyDescent="0.2">
      <c r="A11" t="s">
        <v>2</v>
      </c>
      <c r="B11" t="str">
        <f>_xlfn.XLOOKUP(C11,ref!$H$2:$H$19,ref!$G$2:$G$19,"not found")</f>
        <v>d002</v>
      </c>
      <c r="C11" t="s">
        <v>141</v>
      </c>
      <c r="D11" t="s">
        <v>415</v>
      </c>
      <c r="E11" t="s">
        <v>412</v>
      </c>
    </row>
    <row r="12" spans="1:5" x14ac:dyDescent="0.2">
      <c r="A12" t="s">
        <v>2</v>
      </c>
      <c r="B12" t="str">
        <f>_xlfn.XLOOKUP(C12,ref!$H$2:$H$19,ref!$G$2:$G$19,"not found")</f>
        <v>d002</v>
      </c>
      <c r="C12" t="s">
        <v>141</v>
      </c>
      <c r="D12" t="s">
        <v>408</v>
      </c>
      <c r="E12" t="s">
        <v>409</v>
      </c>
    </row>
    <row r="13" spans="1:5" x14ac:dyDescent="0.2">
      <c r="A13" t="s">
        <v>2</v>
      </c>
      <c r="B13" t="str">
        <f>_xlfn.XLOOKUP(C13,ref!$H$2:$H$19,ref!$G$2:$G$19,"not found")</f>
        <v>d002</v>
      </c>
      <c r="C13" t="s">
        <v>141</v>
      </c>
      <c r="D13" t="s">
        <v>404</v>
      </c>
      <c r="E13" t="s">
        <v>398</v>
      </c>
    </row>
    <row r="14" spans="1:5" x14ac:dyDescent="0.2">
      <c r="A14" t="s">
        <v>2</v>
      </c>
      <c r="B14" t="str">
        <f>_xlfn.XLOOKUP(C14,ref!$H$2:$H$19,ref!$G$2:$G$19,"not found")</f>
        <v>d003</v>
      </c>
      <c r="C14" t="s">
        <v>142</v>
      </c>
      <c r="D14" t="s">
        <v>403</v>
      </c>
      <c r="E14" t="s">
        <v>397</v>
      </c>
    </row>
    <row r="15" spans="1:5" x14ac:dyDescent="0.2">
      <c r="A15" t="s">
        <v>2</v>
      </c>
      <c r="B15" t="str">
        <f>_xlfn.XLOOKUP(C15,ref!$H$2:$H$19,ref!$G$2:$G$19,"not found")</f>
        <v>d003</v>
      </c>
      <c r="C15" t="s">
        <v>142</v>
      </c>
      <c r="D15" t="s">
        <v>413</v>
      </c>
      <c r="E15" t="s">
        <v>414</v>
      </c>
    </row>
    <row r="16" spans="1:5" x14ac:dyDescent="0.2">
      <c r="A16" t="s">
        <v>2</v>
      </c>
      <c r="B16" t="str">
        <f>_xlfn.XLOOKUP(C16,ref!$H$2:$H$19,ref!$G$2:$G$19,"not found")</f>
        <v>d003</v>
      </c>
      <c r="C16" t="s">
        <v>142</v>
      </c>
      <c r="D16" t="s">
        <v>411</v>
      </c>
      <c r="E16" t="s">
        <v>412</v>
      </c>
    </row>
    <row r="17" spans="1:5" x14ac:dyDescent="0.2">
      <c r="A17" t="s">
        <v>2</v>
      </c>
      <c r="B17" t="str">
        <f>_xlfn.XLOOKUP(C17,ref!$H$2:$H$19,ref!$G$2:$G$19,"not found")</f>
        <v>d003</v>
      </c>
      <c r="C17" t="s">
        <v>142</v>
      </c>
      <c r="D17" t="s">
        <v>415</v>
      </c>
      <c r="E17" t="s">
        <v>412</v>
      </c>
    </row>
    <row r="18" spans="1:5" x14ac:dyDescent="0.2">
      <c r="A18" t="s">
        <v>2</v>
      </c>
      <c r="B18" t="str">
        <f>_xlfn.XLOOKUP(C18,ref!$H$2:$H$19,ref!$G$2:$G$19,"not found")</f>
        <v>d003</v>
      </c>
      <c r="C18" t="s">
        <v>142</v>
      </c>
      <c r="D18" t="s">
        <v>408</v>
      </c>
      <c r="E18" t="s">
        <v>409</v>
      </c>
    </row>
    <row r="19" spans="1:5" x14ac:dyDescent="0.2">
      <c r="A19" t="s">
        <v>2</v>
      </c>
      <c r="B19" t="str">
        <f>_xlfn.XLOOKUP(C19,ref!$H$2:$H$19,ref!$G$2:$G$19,"not found")</f>
        <v>d004</v>
      </c>
      <c r="C19" t="s">
        <v>143</v>
      </c>
      <c r="D19" t="s">
        <v>404</v>
      </c>
      <c r="E19" t="s">
        <v>398</v>
      </c>
    </row>
    <row r="20" spans="1:5" x14ac:dyDescent="0.2">
      <c r="A20" t="s">
        <v>2</v>
      </c>
      <c r="B20" t="str">
        <f>_xlfn.XLOOKUP(C20,ref!$H$2:$H$19,ref!$G$2:$G$19,"not found")</f>
        <v>d004</v>
      </c>
      <c r="C20" t="s">
        <v>143</v>
      </c>
      <c r="D20" t="s">
        <v>403</v>
      </c>
      <c r="E20" t="s">
        <v>397</v>
      </c>
    </row>
    <row r="21" spans="1:5" x14ac:dyDescent="0.2">
      <c r="A21" t="s">
        <v>2</v>
      </c>
      <c r="B21" t="str">
        <f>_xlfn.XLOOKUP(C21,ref!$H$2:$H$19,ref!$G$2:$G$19,"not found")</f>
        <v>d004</v>
      </c>
      <c r="C21" t="s">
        <v>143</v>
      </c>
      <c r="D21" t="s">
        <v>411</v>
      </c>
      <c r="E21" t="s">
        <v>412</v>
      </c>
    </row>
    <row r="22" spans="1:5" x14ac:dyDescent="0.2">
      <c r="A22" t="s">
        <v>2</v>
      </c>
      <c r="B22" t="str">
        <f>_xlfn.XLOOKUP(C22,ref!$H$2:$H$19,ref!$G$2:$G$19,"not found")</f>
        <v>d004</v>
      </c>
      <c r="C22" t="s">
        <v>143</v>
      </c>
      <c r="D22" t="s">
        <v>415</v>
      </c>
      <c r="E22" t="s">
        <v>412</v>
      </c>
    </row>
    <row r="23" spans="1:5" x14ac:dyDescent="0.2">
      <c r="A23" t="s">
        <v>2</v>
      </c>
      <c r="B23" t="str">
        <f>_xlfn.XLOOKUP(C23,ref!$H$2:$H$19,ref!$G$2:$G$19,"not found")</f>
        <v>d004</v>
      </c>
      <c r="C23" t="s">
        <v>143</v>
      </c>
      <c r="D23" t="s">
        <v>408</v>
      </c>
      <c r="E23" t="s">
        <v>409</v>
      </c>
    </row>
    <row r="24" spans="1:5" x14ac:dyDescent="0.2">
      <c r="A24" t="s">
        <v>2</v>
      </c>
      <c r="B24" t="str">
        <f>_xlfn.XLOOKUP(C24,ref!$H$2:$H$19,ref!$G$2:$G$19,"not found")</f>
        <v>d004</v>
      </c>
      <c r="C24" t="s">
        <v>143</v>
      </c>
      <c r="D24" t="s">
        <v>416</v>
      </c>
      <c r="E24" t="s">
        <v>398</v>
      </c>
    </row>
    <row r="25" spans="1:5" x14ac:dyDescent="0.2">
      <c r="A25" t="s">
        <v>2</v>
      </c>
      <c r="B25" t="str">
        <f>_xlfn.XLOOKUP(C25,ref!$H$2:$H$19,ref!$G$2:$G$19,"not found")</f>
        <v>d005</v>
      </c>
      <c r="C25" t="s">
        <v>55</v>
      </c>
      <c r="D25" t="s">
        <v>399</v>
      </c>
      <c r="E25" t="s">
        <v>400</v>
      </c>
    </row>
    <row r="26" spans="1:5" x14ac:dyDescent="0.2">
      <c r="A26" t="s">
        <v>2</v>
      </c>
      <c r="B26" t="str">
        <f>_xlfn.XLOOKUP(C26,ref!$H$2:$H$19,ref!$G$2:$G$19,"not found")</f>
        <v>d005</v>
      </c>
      <c r="C26" t="s">
        <v>55</v>
      </c>
      <c r="D26" t="s">
        <v>401</v>
      </c>
      <c r="E26" t="s">
        <v>402</v>
      </c>
    </row>
    <row r="27" spans="1:5" x14ac:dyDescent="0.2">
      <c r="A27" t="s">
        <v>2</v>
      </c>
      <c r="B27" t="str">
        <f>_xlfn.XLOOKUP(C27,ref!$H$2:$H$19,ref!$G$2:$G$19,"not found")</f>
        <v>d005</v>
      </c>
      <c r="C27" t="s">
        <v>55</v>
      </c>
      <c r="D27" t="s">
        <v>417</v>
      </c>
      <c r="E27" t="s">
        <v>402</v>
      </c>
    </row>
    <row r="28" spans="1:5" x14ac:dyDescent="0.2">
      <c r="A28" t="s">
        <v>2</v>
      </c>
      <c r="B28" t="str">
        <f>_xlfn.XLOOKUP(C28,ref!$H$2:$H$19,ref!$G$2:$G$19,"not found")</f>
        <v>d005</v>
      </c>
      <c r="C28" t="s">
        <v>55</v>
      </c>
      <c r="D28" t="s">
        <v>418</v>
      </c>
      <c r="E28" t="s">
        <v>211</v>
      </c>
    </row>
    <row r="29" spans="1:5" x14ac:dyDescent="0.2">
      <c r="A29" t="s">
        <v>2</v>
      </c>
      <c r="B29" t="str">
        <f>_xlfn.XLOOKUP(C29,ref!$H$2:$H$19,ref!$G$2:$G$19,"not found")</f>
        <v>d005</v>
      </c>
      <c r="C29" t="s">
        <v>55</v>
      </c>
      <c r="D29" t="s">
        <v>408</v>
      </c>
      <c r="E29" t="s">
        <v>409</v>
      </c>
    </row>
    <row r="30" spans="1:5" x14ac:dyDescent="0.2">
      <c r="A30" t="s">
        <v>2</v>
      </c>
      <c r="B30" t="str">
        <f>_xlfn.XLOOKUP(C30,ref!$H$2:$H$19,ref!$G$2:$G$19,"not found")</f>
        <v>d005</v>
      </c>
      <c r="C30" t="s">
        <v>55</v>
      </c>
      <c r="D30" t="s">
        <v>419</v>
      </c>
      <c r="E30" t="s">
        <v>412</v>
      </c>
    </row>
    <row r="31" spans="1:5" x14ac:dyDescent="0.2">
      <c r="A31" t="s">
        <v>2</v>
      </c>
      <c r="B31" t="str">
        <f>_xlfn.XLOOKUP(C31,ref!$H$2:$H$19,ref!$G$2:$G$19,"not found")</f>
        <v>d006</v>
      </c>
      <c r="C31" t="s">
        <v>144</v>
      </c>
      <c r="D31" t="s">
        <v>404</v>
      </c>
      <c r="E31" t="s">
        <v>398</v>
      </c>
    </row>
    <row r="32" spans="1:5" x14ac:dyDescent="0.2">
      <c r="A32" t="s">
        <v>2</v>
      </c>
      <c r="B32" t="str">
        <f>_xlfn.XLOOKUP(C32,ref!$H$2:$H$19,ref!$G$2:$G$19,"not found")</f>
        <v>d006</v>
      </c>
      <c r="C32" t="s">
        <v>144</v>
      </c>
      <c r="D32" t="s">
        <v>416</v>
      </c>
      <c r="E32" t="s">
        <v>398</v>
      </c>
    </row>
    <row r="33" spans="1:5" x14ac:dyDescent="0.2">
      <c r="A33" t="s">
        <v>2</v>
      </c>
      <c r="B33" t="str">
        <f>_xlfn.XLOOKUP(C33,ref!$H$2:$H$19,ref!$G$2:$G$19,"not found")</f>
        <v>d006</v>
      </c>
      <c r="C33" t="s">
        <v>144</v>
      </c>
      <c r="D33" t="s">
        <v>411</v>
      </c>
      <c r="E33" t="s">
        <v>412</v>
      </c>
    </row>
    <row r="34" spans="1:5" x14ac:dyDescent="0.2">
      <c r="A34" t="s">
        <v>2</v>
      </c>
      <c r="B34" t="str">
        <f>_xlfn.XLOOKUP(C34,ref!$H$2:$H$19,ref!$G$2:$G$19,"not found")</f>
        <v>d006</v>
      </c>
      <c r="C34" t="s">
        <v>144</v>
      </c>
      <c r="D34" t="s">
        <v>415</v>
      </c>
      <c r="E34" t="s">
        <v>412</v>
      </c>
    </row>
    <row r="35" spans="1:5" x14ac:dyDescent="0.2">
      <c r="A35" t="s">
        <v>2</v>
      </c>
      <c r="B35" t="str">
        <f>_xlfn.XLOOKUP(C35,ref!$H$2:$H$19,ref!$G$2:$G$19,"not found")</f>
        <v>d006</v>
      </c>
      <c r="C35" t="s">
        <v>144</v>
      </c>
      <c r="D35" t="s">
        <v>408</v>
      </c>
      <c r="E35" t="s">
        <v>409</v>
      </c>
    </row>
    <row r="36" spans="1:5" x14ac:dyDescent="0.2">
      <c r="A36" t="s">
        <v>2</v>
      </c>
      <c r="B36" t="str">
        <f>_xlfn.XLOOKUP(C36,ref!$H$2:$H$19,ref!$G$2:$G$19,"not found")</f>
        <v>d006</v>
      </c>
      <c r="C36" t="s">
        <v>144</v>
      </c>
      <c r="D36" t="s">
        <v>403</v>
      </c>
      <c r="E36" t="s">
        <v>397</v>
      </c>
    </row>
    <row r="37" spans="1:5" x14ac:dyDescent="0.2">
      <c r="A37" t="s">
        <v>2</v>
      </c>
      <c r="B37" t="str">
        <f>_xlfn.XLOOKUP(C37,ref!$H$2:$H$19,ref!$G$2:$G$19,"not found")</f>
        <v>d007</v>
      </c>
      <c r="C37" t="s">
        <v>145</v>
      </c>
      <c r="D37" t="s">
        <v>408</v>
      </c>
      <c r="E37" t="s">
        <v>409</v>
      </c>
    </row>
    <row r="38" spans="1:5" x14ac:dyDescent="0.2">
      <c r="A38" t="s">
        <v>2</v>
      </c>
      <c r="B38" t="str">
        <f>_xlfn.XLOOKUP(C38,ref!$H$2:$H$19,ref!$G$2:$G$19,"not found")</f>
        <v>d007</v>
      </c>
      <c r="C38" t="s">
        <v>145</v>
      </c>
      <c r="D38" t="s">
        <v>415</v>
      </c>
      <c r="E38" t="s">
        <v>412</v>
      </c>
    </row>
    <row r="39" spans="1:5" x14ac:dyDescent="0.2">
      <c r="A39" t="s">
        <v>2</v>
      </c>
      <c r="B39" t="str">
        <f>_xlfn.XLOOKUP(C39,ref!$H$2:$H$19,ref!$G$2:$G$19,"not found")</f>
        <v>d007</v>
      </c>
      <c r="C39" t="s">
        <v>145</v>
      </c>
      <c r="D39" t="s">
        <v>419</v>
      </c>
      <c r="E39" t="s">
        <v>412</v>
      </c>
    </row>
    <row r="40" spans="1:5" x14ac:dyDescent="0.2">
      <c r="A40" t="s">
        <v>2</v>
      </c>
      <c r="B40" t="str">
        <f>_xlfn.XLOOKUP(C40,ref!$H$2:$H$19,ref!$G$2:$G$19,"not found")</f>
        <v>d007</v>
      </c>
      <c r="C40" t="s">
        <v>145</v>
      </c>
      <c r="D40" t="s">
        <v>420</v>
      </c>
      <c r="E40" t="s">
        <v>412</v>
      </c>
    </row>
    <row r="41" spans="1:5" x14ac:dyDescent="0.2">
      <c r="A41" t="s">
        <v>2</v>
      </c>
      <c r="B41" t="str">
        <f>_xlfn.XLOOKUP(C41,ref!$H$2:$H$19,ref!$G$2:$G$19,"not found")</f>
        <v>d007</v>
      </c>
      <c r="C41" t="s">
        <v>145</v>
      </c>
      <c r="D41" t="s">
        <v>404</v>
      </c>
      <c r="E41" t="s">
        <v>398</v>
      </c>
    </row>
    <row r="42" spans="1:5" x14ac:dyDescent="0.2">
      <c r="A42" t="s">
        <v>2</v>
      </c>
      <c r="B42" t="str">
        <f>_xlfn.XLOOKUP(C42,ref!$H$2:$H$19,ref!$G$2:$G$19,"not found")</f>
        <v>d008</v>
      </c>
      <c r="C42" t="s">
        <v>56</v>
      </c>
      <c r="D42" t="s">
        <v>405</v>
      </c>
      <c r="E42" t="s">
        <v>217</v>
      </c>
    </row>
    <row r="43" spans="1:5" x14ac:dyDescent="0.2">
      <c r="A43" t="s">
        <v>2</v>
      </c>
      <c r="B43" t="str">
        <f>_xlfn.XLOOKUP(C43,ref!$H$2:$H$19,ref!$G$2:$G$19,"not found")</f>
        <v>d008</v>
      </c>
      <c r="C43" t="s">
        <v>56</v>
      </c>
      <c r="D43" t="s">
        <v>421</v>
      </c>
      <c r="E43" t="s">
        <v>217</v>
      </c>
    </row>
    <row r="44" spans="1:5" x14ac:dyDescent="0.2">
      <c r="A44" t="s">
        <v>2</v>
      </c>
      <c r="B44" t="str">
        <f>_xlfn.XLOOKUP(C44,ref!$H$2:$H$19,ref!$G$2:$G$19,"not found")</f>
        <v>d008</v>
      </c>
      <c r="C44" t="s">
        <v>56</v>
      </c>
      <c r="D44" t="s">
        <v>422</v>
      </c>
      <c r="E44" t="s">
        <v>423</v>
      </c>
    </row>
    <row r="45" spans="1:5" x14ac:dyDescent="0.2">
      <c r="A45" t="s">
        <v>2</v>
      </c>
      <c r="B45" t="str">
        <f>_xlfn.XLOOKUP(C45,ref!$H$2:$H$19,ref!$G$2:$G$19,"not found")</f>
        <v>d008</v>
      </c>
      <c r="C45" t="s">
        <v>56</v>
      </c>
      <c r="D45" t="s">
        <v>424</v>
      </c>
      <c r="E45" t="s">
        <v>425</v>
      </c>
    </row>
    <row r="46" spans="1:5" x14ac:dyDescent="0.2">
      <c r="A46" t="s">
        <v>2</v>
      </c>
      <c r="B46" t="str">
        <f>_xlfn.XLOOKUP(C46,ref!$H$2:$H$19,ref!$G$2:$G$19,"not found")</f>
        <v>d008</v>
      </c>
      <c r="C46" t="s">
        <v>56</v>
      </c>
      <c r="D46" t="s">
        <v>426</v>
      </c>
      <c r="E46" t="s">
        <v>427</v>
      </c>
    </row>
    <row r="47" spans="1:5" x14ac:dyDescent="0.2">
      <c r="A47" t="s">
        <v>2</v>
      </c>
      <c r="B47" t="str">
        <f>_xlfn.XLOOKUP(C47,ref!$H$2:$H$19,ref!$G$2:$G$19,"not found")</f>
        <v>d009</v>
      </c>
      <c r="C47" t="s">
        <v>146</v>
      </c>
      <c r="D47" t="s">
        <v>405</v>
      </c>
      <c r="E47" t="s">
        <v>217</v>
      </c>
    </row>
    <row r="48" spans="1:5" x14ac:dyDescent="0.2">
      <c r="A48" t="s">
        <v>2</v>
      </c>
      <c r="B48" t="str">
        <f>_xlfn.XLOOKUP(C48,ref!$H$2:$H$19,ref!$G$2:$G$19,"not found")</f>
        <v>d009</v>
      </c>
      <c r="C48" t="s">
        <v>146</v>
      </c>
      <c r="D48" t="s">
        <v>421</v>
      </c>
      <c r="E48" t="s">
        <v>217</v>
      </c>
    </row>
    <row r="49" spans="1:5" x14ac:dyDescent="0.2">
      <c r="A49" t="s">
        <v>2</v>
      </c>
      <c r="B49" t="str">
        <f>_xlfn.XLOOKUP(C49,ref!$H$2:$H$19,ref!$G$2:$G$19,"not found")</f>
        <v>d009</v>
      </c>
      <c r="C49" t="s">
        <v>146</v>
      </c>
      <c r="D49" t="s">
        <v>422</v>
      </c>
      <c r="E49" t="s">
        <v>423</v>
      </c>
    </row>
    <row r="50" spans="1:5" x14ac:dyDescent="0.2">
      <c r="A50" t="s">
        <v>2</v>
      </c>
      <c r="B50" t="str">
        <f>_xlfn.XLOOKUP(C50,ref!$H$2:$H$19,ref!$G$2:$G$19,"not found")</f>
        <v>d009</v>
      </c>
      <c r="C50" t="s">
        <v>146</v>
      </c>
      <c r="D50" t="s">
        <v>424</v>
      </c>
      <c r="E50" t="s">
        <v>425</v>
      </c>
    </row>
    <row r="51" spans="1:5" x14ac:dyDescent="0.2">
      <c r="A51" t="s">
        <v>2</v>
      </c>
      <c r="B51" t="str">
        <f>_xlfn.XLOOKUP(C51,ref!$H$2:$H$19,ref!$G$2:$G$19,"not found")</f>
        <v>d009</v>
      </c>
      <c r="C51" t="s">
        <v>146</v>
      </c>
      <c r="D51" t="s">
        <v>426</v>
      </c>
      <c r="E51" t="s">
        <v>427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177BE2-2AF5-054D-A5D8-E7C035EADEAB}">
          <x14:formula1>
            <xm:f>ref!$H$2:$H$19</xm:f>
          </x14:formula1>
          <xm:sqref>C2:C29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O18"/>
  <sheetViews>
    <sheetView tabSelected="1" zoomScale="110" zoomScaleNormal="110" workbookViewId="0">
      <selection activeCell="D3" sqref="D3"/>
    </sheetView>
  </sheetViews>
  <sheetFormatPr baseColWidth="10" defaultRowHeight="16" x14ac:dyDescent="0.2"/>
  <cols>
    <col min="2" max="3" width="14.6640625" customWidth="1"/>
    <col min="4" max="4" width="17.6640625" style="1" customWidth="1"/>
    <col min="5" max="5" width="16.6640625" bestFit="1" customWidth="1"/>
    <col min="6" max="6" width="16.83203125" customWidth="1"/>
  </cols>
  <sheetData>
    <row r="1" spans="1:15" x14ac:dyDescent="0.2">
      <c r="A1" t="s">
        <v>0</v>
      </c>
      <c r="B1" t="s">
        <v>1</v>
      </c>
      <c r="C1" t="s">
        <v>168</v>
      </c>
      <c r="D1" s="1" t="s">
        <v>4</v>
      </c>
      <c r="E1" t="s">
        <v>5</v>
      </c>
      <c r="F1" s="1" t="s">
        <v>3</v>
      </c>
      <c r="G1" t="s">
        <v>26</v>
      </c>
      <c r="J1" t="s">
        <v>293</v>
      </c>
    </row>
    <row r="2" spans="1:15" x14ac:dyDescent="0.2">
      <c r="A2" t="s">
        <v>2</v>
      </c>
      <c r="B2" t="s">
        <v>210</v>
      </c>
      <c r="C2" s="1" t="s">
        <v>428</v>
      </c>
      <c r="D2" s="1" t="s">
        <v>211</v>
      </c>
      <c r="E2">
        <v>30</v>
      </c>
      <c r="F2" s="1" t="s">
        <v>432</v>
      </c>
      <c r="G2" s="1" t="s">
        <v>435</v>
      </c>
    </row>
    <row r="3" spans="1:15" x14ac:dyDescent="0.2">
      <c r="A3" t="s">
        <v>2</v>
      </c>
      <c r="B3" t="s">
        <v>210</v>
      </c>
      <c r="C3" s="1" t="s">
        <v>430</v>
      </c>
      <c r="D3" s="1" t="s">
        <v>211</v>
      </c>
      <c r="E3">
        <v>30</v>
      </c>
      <c r="F3" s="1" t="s">
        <v>432</v>
      </c>
      <c r="G3" s="1" t="s">
        <v>435</v>
      </c>
      <c r="J3" t="s">
        <v>160</v>
      </c>
      <c r="K3" t="s">
        <v>288</v>
      </c>
      <c r="L3" t="s">
        <v>289</v>
      </c>
    </row>
    <row r="4" spans="1:15" x14ac:dyDescent="0.2">
      <c r="A4" t="s">
        <v>2</v>
      </c>
      <c r="B4" t="s">
        <v>210</v>
      </c>
      <c r="C4" s="1" t="s">
        <v>429</v>
      </c>
      <c r="D4" s="1" t="s">
        <v>212</v>
      </c>
      <c r="E4">
        <v>50</v>
      </c>
      <c r="F4" s="1" t="s">
        <v>433</v>
      </c>
      <c r="G4" s="1" t="s">
        <v>436</v>
      </c>
      <c r="J4">
        <v>1</v>
      </c>
      <c r="K4">
        <v>20</v>
      </c>
      <c r="L4">
        <v>25</v>
      </c>
      <c r="N4">
        <v>25</v>
      </c>
      <c r="O4" t="s">
        <v>295</v>
      </c>
    </row>
    <row r="5" spans="1:15" x14ac:dyDescent="0.2">
      <c r="A5" t="s">
        <v>2</v>
      </c>
      <c r="B5" t="s">
        <v>210</v>
      </c>
      <c r="C5" s="1" t="s">
        <v>40</v>
      </c>
      <c r="D5" s="1" t="s">
        <v>212</v>
      </c>
      <c r="E5">
        <v>50</v>
      </c>
      <c r="F5" s="1" t="s">
        <v>433</v>
      </c>
      <c r="G5" s="1" t="s">
        <v>435</v>
      </c>
      <c r="J5">
        <v>2</v>
      </c>
      <c r="K5">
        <v>45</v>
      </c>
      <c r="L5" s="1" t="s">
        <v>290</v>
      </c>
      <c r="N5">
        <v>30</v>
      </c>
      <c r="O5" t="s">
        <v>295</v>
      </c>
    </row>
    <row r="6" spans="1:15" x14ac:dyDescent="0.2">
      <c r="A6" t="s">
        <v>2</v>
      </c>
      <c r="B6" t="s">
        <v>210</v>
      </c>
      <c r="C6" s="1" t="s">
        <v>41</v>
      </c>
      <c r="D6" s="1" t="s">
        <v>213</v>
      </c>
      <c r="E6">
        <v>70</v>
      </c>
      <c r="F6" s="1" t="s">
        <v>434</v>
      </c>
      <c r="G6" s="1" t="s">
        <v>435</v>
      </c>
      <c r="J6">
        <v>3</v>
      </c>
      <c r="K6">
        <v>65</v>
      </c>
      <c r="L6" s="1" t="s">
        <v>291</v>
      </c>
      <c r="N6">
        <v>10</v>
      </c>
      <c r="O6" t="s">
        <v>295</v>
      </c>
    </row>
    <row r="7" spans="1:15" x14ac:dyDescent="0.2">
      <c r="A7" t="s">
        <v>2</v>
      </c>
      <c r="B7" t="s">
        <v>210</v>
      </c>
      <c r="C7" s="1" t="s">
        <v>42</v>
      </c>
      <c r="D7" s="1" t="s">
        <v>213</v>
      </c>
      <c r="E7">
        <v>70</v>
      </c>
      <c r="F7" s="1" t="s">
        <v>434</v>
      </c>
      <c r="G7" s="1" t="s">
        <v>435</v>
      </c>
      <c r="L7" s="1"/>
    </row>
    <row r="8" spans="1:15" x14ac:dyDescent="0.2">
      <c r="J8" t="s">
        <v>292</v>
      </c>
      <c r="L8" s="1"/>
    </row>
    <row r="10" spans="1:15" x14ac:dyDescent="0.2">
      <c r="J10" s="6" t="s">
        <v>160</v>
      </c>
      <c r="K10" s="6" t="s">
        <v>288</v>
      </c>
      <c r="L10" s="6" t="s">
        <v>289</v>
      </c>
    </row>
    <row r="11" spans="1:15" x14ac:dyDescent="0.2">
      <c r="J11" s="6">
        <v>1</v>
      </c>
      <c r="K11" s="6">
        <v>20</v>
      </c>
      <c r="L11" s="6">
        <v>25</v>
      </c>
    </row>
    <row r="12" spans="1:15" x14ac:dyDescent="0.2">
      <c r="J12" s="6">
        <v>2</v>
      </c>
      <c r="K12" s="6">
        <v>45</v>
      </c>
      <c r="L12" s="7" t="s">
        <v>290</v>
      </c>
      <c r="M12" t="s">
        <v>294</v>
      </c>
    </row>
    <row r="16" spans="1:15" x14ac:dyDescent="0.2">
      <c r="I16" s="1"/>
    </row>
    <row r="17" spans="9:9" x14ac:dyDescent="0.2">
      <c r="I17" s="1"/>
    </row>
    <row r="18" spans="9:9" x14ac:dyDescent="0.2">
      <c r="I18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64ED2-38E5-DF44-8359-DC945C6EA1B1}">
  <dimension ref="A1:C5"/>
  <sheetViews>
    <sheetView workbookViewId="0">
      <selection activeCell="E9" sqref="E9"/>
    </sheetView>
  </sheetViews>
  <sheetFormatPr baseColWidth="10" defaultRowHeight="16" x14ac:dyDescent="0.2"/>
  <cols>
    <col min="2" max="2" width="20.1640625" customWidth="1"/>
    <col min="3" max="3" width="17.83203125" customWidth="1"/>
  </cols>
  <sheetData>
    <row r="1" spans="1:3" x14ac:dyDescent="0.2">
      <c r="A1" t="s">
        <v>0</v>
      </c>
      <c r="B1" t="s">
        <v>1</v>
      </c>
      <c r="C1" t="s">
        <v>261</v>
      </c>
    </row>
    <row r="2" spans="1:3" x14ac:dyDescent="0.2">
      <c r="A2" t="s">
        <v>2</v>
      </c>
      <c r="B2" t="s">
        <v>44</v>
      </c>
      <c r="C2">
        <v>0</v>
      </c>
    </row>
    <row r="3" spans="1:3" x14ac:dyDescent="0.2">
      <c r="A3" t="s">
        <v>218</v>
      </c>
      <c r="B3" t="s">
        <v>219</v>
      </c>
      <c r="C3">
        <v>0</v>
      </c>
    </row>
    <row r="4" spans="1:3" x14ac:dyDescent="0.2">
      <c r="A4" t="s">
        <v>220</v>
      </c>
      <c r="B4" t="s">
        <v>221</v>
      </c>
      <c r="C4">
        <v>1</v>
      </c>
    </row>
    <row r="5" spans="1:3" x14ac:dyDescent="0.2">
      <c r="A5" t="s">
        <v>236</v>
      </c>
      <c r="B5" t="s">
        <v>237</v>
      </c>
      <c r="C5">
        <v>1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M19"/>
  <sheetViews>
    <sheetView workbookViewId="0">
      <selection activeCell="M17" sqref="M17"/>
    </sheetView>
  </sheetViews>
  <sheetFormatPr baseColWidth="10" defaultRowHeight="16" x14ac:dyDescent="0.2"/>
  <cols>
    <col min="2" max="2" width="20.5" customWidth="1"/>
    <col min="5" max="5" width="20.33203125" customWidth="1"/>
    <col min="8" max="8" width="16.83203125" customWidth="1"/>
  </cols>
  <sheetData>
    <row r="1" spans="1:13" x14ac:dyDescent="0.2">
      <c r="A1" t="s">
        <v>159</v>
      </c>
      <c r="K1" t="s">
        <v>160</v>
      </c>
    </row>
    <row r="2" spans="1:13" x14ac:dyDescent="0.2">
      <c r="A2" t="s">
        <v>12</v>
      </c>
      <c r="B2" t="s">
        <v>58</v>
      </c>
      <c r="D2" t="s">
        <v>29</v>
      </c>
      <c r="E2" t="s">
        <v>47</v>
      </c>
      <c r="G2" t="s">
        <v>21</v>
      </c>
      <c r="H2" t="s">
        <v>54</v>
      </c>
    </row>
    <row r="3" spans="1:13" x14ac:dyDescent="0.2">
      <c r="A3" t="s">
        <v>13</v>
      </c>
      <c r="B3" t="s">
        <v>60</v>
      </c>
      <c r="D3" t="s">
        <v>30</v>
      </c>
      <c r="E3" t="s">
        <v>105</v>
      </c>
      <c r="G3" t="s">
        <v>22</v>
      </c>
      <c r="H3" t="s">
        <v>141</v>
      </c>
      <c r="K3" t="s">
        <v>167</v>
      </c>
      <c r="L3" t="s">
        <v>169</v>
      </c>
      <c r="M3" t="s">
        <v>168</v>
      </c>
    </row>
    <row r="4" spans="1:13" x14ac:dyDescent="0.2">
      <c r="A4" t="s">
        <v>14</v>
      </c>
      <c r="B4" t="s">
        <v>65</v>
      </c>
      <c r="D4" t="s">
        <v>31</v>
      </c>
      <c r="E4" t="s">
        <v>109</v>
      </c>
      <c r="G4" t="s">
        <v>23</v>
      </c>
      <c r="H4" t="s">
        <v>142</v>
      </c>
      <c r="K4" t="s">
        <v>34</v>
      </c>
      <c r="L4" t="s">
        <v>170</v>
      </c>
      <c r="M4" s="1" t="s">
        <v>185</v>
      </c>
    </row>
    <row r="5" spans="1:13" x14ac:dyDescent="0.2">
      <c r="A5" t="s">
        <v>15</v>
      </c>
      <c r="B5" t="s">
        <v>69</v>
      </c>
      <c r="D5" t="s">
        <v>32</v>
      </c>
      <c r="E5" t="s">
        <v>114</v>
      </c>
      <c r="G5" t="s">
        <v>24</v>
      </c>
      <c r="H5" t="s">
        <v>143</v>
      </c>
      <c r="K5" t="s">
        <v>35</v>
      </c>
      <c r="L5" t="s">
        <v>170</v>
      </c>
      <c r="M5" s="1" t="s">
        <v>41</v>
      </c>
    </row>
    <row r="6" spans="1:13" x14ac:dyDescent="0.2">
      <c r="A6" t="s">
        <v>16</v>
      </c>
      <c r="B6" t="s">
        <v>71</v>
      </c>
      <c r="D6" t="s">
        <v>33</v>
      </c>
      <c r="E6" t="s">
        <v>116</v>
      </c>
      <c r="G6" t="s">
        <v>25</v>
      </c>
      <c r="H6" t="s">
        <v>55</v>
      </c>
      <c r="K6" t="s">
        <v>36</v>
      </c>
      <c r="L6" t="s">
        <v>170</v>
      </c>
      <c r="M6" t="s">
        <v>40</v>
      </c>
    </row>
    <row r="7" spans="1:13" x14ac:dyDescent="0.2">
      <c r="A7" t="s">
        <v>74</v>
      </c>
      <c r="B7" t="s">
        <v>78</v>
      </c>
      <c r="D7" t="s">
        <v>53</v>
      </c>
      <c r="E7" t="s">
        <v>52</v>
      </c>
      <c r="G7" t="s">
        <v>57</v>
      </c>
      <c r="H7" t="s">
        <v>144</v>
      </c>
      <c r="K7" t="s">
        <v>37</v>
      </c>
      <c r="L7" t="s">
        <v>170</v>
      </c>
      <c r="M7" s="1" t="s">
        <v>186</v>
      </c>
    </row>
    <row r="8" spans="1:13" x14ac:dyDescent="0.2">
      <c r="A8" t="s">
        <v>79</v>
      </c>
      <c r="B8" t="s">
        <v>83</v>
      </c>
      <c r="D8" t="s">
        <v>123</v>
      </c>
      <c r="E8" t="s">
        <v>51</v>
      </c>
      <c r="G8" t="s">
        <v>138</v>
      </c>
      <c r="H8" t="s">
        <v>145</v>
      </c>
      <c r="K8" t="s">
        <v>38</v>
      </c>
      <c r="L8" t="s">
        <v>170</v>
      </c>
      <c r="M8" s="1" t="s">
        <v>172</v>
      </c>
    </row>
    <row r="9" spans="1:13" x14ac:dyDescent="0.2">
      <c r="A9" t="s">
        <v>81</v>
      </c>
      <c r="B9" t="s">
        <v>17</v>
      </c>
      <c r="D9" t="s">
        <v>124</v>
      </c>
      <c r="E9" t="s">
        <v>49</v>
      </c>
      <c r="G9" t="s">
        <v>139</v>
      </c>
      <c r="H9" t="s">
        <v>56</v>
      </c>
      <c r="K9" t="s">
        <v>39</v>
      </c>
      <c r="L9" t="s">
        <v>171</v>
      </c>
      <c r="M9" s="1" t="s">
        <v>172</v>
      </c>
    </row>
    <row r="10" spans="1:13" x14ac:dyDescent="0.2">
      <c r="A10" t="s">
        <v>86</v>
      </c>
      <c r="B10" t="s">
        <v>91</v>
      </c>
      <c r="D10" t="s">
        <v>125</v>
      </c>
      <c r="E10" t="s">
        <v>118</v>
      </c>
      <c r="G10" t="s">
        <v>140</v>
      </c>
      <c r="H10" t="s">
        <v>146</v>
      </c>
      <c r="K10" t="s">
        <v>161</v>
      </c>
      <c r="L10" t="s">
        <v>173</v>
      </c>
      <c r="M10" s="1" t="s">
        <v>40</v>
      </c>
    </row>
    <row r="11" spans="1:13" x14ac:dyDescent="0.2">
      <c r="A11" t="s">
        <v>89</v>
      </c>
      <c r="B11" t="s">
        <v>94</v>
      </c>
      <c r="D11" t="s">
        <v>126</v>
      </c>
      <c r="E11" t="s">
        <v>120</v>
      </c>
      <c r="K11" t="s">
        <v>162</v>
      </c>
      <c r="L11" t="s">
        <v>173</v>
      </c>
      <c r="M11" s="1" t="s">
        <v>42</v>
      </c>
    </row>
    <row r="12" spans="1:13" x14ac:dyDescent="0.2">
      <c r="A12" t="s">
        <v>90</v>
      </c>
      <c r="B12" t="s">
        <v>98</v>
      </c>
      <c r="D12" t="s">
        <v>127</v>
      </c>
      <c r="E12" t="s">
        <v>122</v>
      </c>
      <c r="K12" t="s">
        <v>163</v>
      </c>
      <c r="L12" t="s">
        <v>173</v>
      </c>
      <c r="M12" s="1" t="s">
        <v>174</v>
      </c>
    </row>
    <row r="13" spans="1:13" x14ac:dyDescent="0.2">
      <c r="A13" t="s">
        <v>97</v>
      </c>
      <c r="B13" t="s">
        <v>99</v>
      </c>
      <c r="D13" t="s">
        <v>128</v>
      </c>
      <c r="E13" t="s">
        <v>190</v>
      </c>
      <c r="K13" t="s">
        <v>164</v>
      </c>
      <c r="L13" t="s">
        <v>175</v>
      </c>
      <c r="M13" s="1" t="s">
        <v>176</v>
      </c>
    </row>
    <row r="14" spans="1:13" x14ac:dyDescent="0.2">
      <c r="K14" t="s">
        <v>165</v>
      </c>
      <c r="L14" t="s">
        <v>177</v>
      </c>
      <c r="M14" s="1" t="s">
        <v>178</v>
      </c>
    </row>
    <row r="15" spans="1:13" x14ac:dyDescent="0.2">
      <c r="K15" t="s">
        <v>166</v>
      </c>
      <c r="L15" t="s">
        <v>181</v>
      </c>
      <c r="M15" s="1" t="s">
        <v>179</v>
      </c>
    </row>
    <row r="16" spans="1:13" x14ac:dyDescent="0.2">
      <c r="K16" t="s">
        <v>187</v>
      </c>
      <c r="L16" t="s">
        <v>182</v>
      </c>
      <c r="M16" s="1" t="s">
        <v>180</v>
      </c>
    </row>
    <row r="17" spans="11:13" x14ac:dyDescent="0.2">
      <c r="K17" t="s">
        <v>188</v>
      </c>
      <c r="L17" t="s">
        <v>183</v>
      </c>
      <c r="M17" s="1" t="s">
        <v>43</v>
      </c>
    </row>
    <row r="18" spans="11:13" x14ac:dyDescent="0.2">
      <c r="K18" t="s">
        <v>189</v>
      </c>
      <c r="L18" t="s">
        <v>184</v>
      </c>
      <c r="M18" s="1" t="s">
        <v>42</v>
      </c>
    </row>
    <row r="19" spans="11:13" x14ac:dyDescent="0.2">
      <c r="L19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crop_stage</vt:lpstr>
      <vt:lpstr>crop_weeds</vt:lpstr>
      <vt:lpstr>crop_pest</vt:lpstr>
      <vt:lpstr>crop_disease</vt:lpstr>
      <vt:lpstr>weed_her</vt:lpstr>
      <vt:lpstr>pest_ins</vt:lpstr>
      <vt:lpstr>disease_fun</vt:lpstr>
      <vt:lpstr>fertilizer</vt:lpstr>
      <vt:lpstr>crop_ref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2026-08-27T07:55:57Z</dcterms:modified>
</cp:coreProperties>
</file>